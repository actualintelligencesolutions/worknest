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Volumes/StudioSSD/Users/cainedaniel/Downloads/"/>
    </mc:Choice>
  </mc:AlternateContent>
  <xr:revisionPtr revIDLastSave="0" documentId="13_ncr:1_{FA879F29-DC76-7D42-BACD-EF097EFB44B2}" xr6:coauthVersionLast="47" xr6:coauthVersionMax="47" xr10:uidLastSave="{00000000-0000-0000-0000-000000000000}"/>
  <bookViews>
    <workbookView xWindow="0" yWindow="600" windowWidth="38400" windowHeight="19160" activeTab="1" xr2:uid="{00000000-000D-0000-FFFF-FFFF00000000}"/>
  </bookViews>
  <sheets>
    <sheet name="Employees" sheetId="1" r:id="rId1"/>
    <sheet name="Payroll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2" i="2"/>
</calcChain>
</file>

<file path=xl/sharedStrings.xml><?xml version="1.0" encoding="utf-8"?>
<sst xmlns="http://schemas.openxmlformats.org/spreadsheetml/2006/main" count="350" uniqueCount="174">
  <si>
    <t>Employee Id</t>
  </si>
  <si>
    <t>Full Name</t>
  </si>
  <si>
    <t>Phone Number</t>
  </si>
  <si>
    <t>Status</t>
  </si>
  <si>
    <t>Employment</t>
  </si>
  <si>
    <t>Date Of Joining</t>
  </si>
  <si>
    <t>UAN</t>
  </si>
  <si>
    <t>Bank</t>
  </si>
  <si>
    <t>IFSC</t>
  </si>
  <si>
    <t>Account Number</t>
  </si>
  <si>
    <t>Designation</t>
  </si>
  <si>
    <t>Basic Rate</t>
  </si>
  <si>
    <t>Aarav Sharma</t>
  </si>
  <si>
    <t>Active</t>
  </si>
  <si>
    <t>Permanent</t>
  </si>
  <si>
    <t>2024-01-15</t>
  </si>
  <si>
    <t>HDFC Bank</t>
  </si>
  <si>
    <t>HDFC0001201</t>
  </si>
  <si>
    <t>Site Supervisor</t>
  </si>
  <si>
    <t>Diya Nair</t>
  </si>
  <si>
    <t>2024-01-18</t>
  </si>
  <si>
    <t>ICICI Bank</t>
  </si>
  <si>
    <t>ICIC0001202</t>
  </si>
  <si>
    <t>HR Executive</t>
  </si>
  <si>
    <t>Rohan Verma</t>
  </si>
  <si>
    <t>Contract</t>
  </si>
  <si>
    <t>2024-01-22</t>
  </si>
  <si>
    <t>State Bank of India</t>
  </si>
  <si>
    <t>SBIN0001203</t>
  </si>
  <si>
    <t>Store Assistant</t>
  </si>
  <si>
    <t>Meera Iyer</t>
  </si>
  <si>
    <t>2024-02-01</t>
  </si>
  <si>
    <t>Axis Bank</t>
  </si>
  <si>
    <t>UTIB0001204</t>
  </si>
  <si>
    <t>Accounts Assistant</t>
  </si>
  <si>
    <t>Karthik Rao</t>
  </si>
  <si>
    <t>2024-02-05</t>
  </si>
  <si>
    <t>Kotak Mahindra Bank</t>
  </si>
  <si>
    <t>KKBK0001205</t>
  </si>
  <si>
    <t>Operations Coordinator</t>
  </si>
  <si>
    <t>Ananya Das</t>
  </si>
  <si>
    <t>2024-02-09</t>
  </si>
  <si>
    <t>Canara Bank</t>
  </si>
  <si>
    <t>CNRB0001206</t>
  </si>
  <si>
    <t>Reception Executive</t>
  </si>
  <si>
    <t>Vikram Singh</t>
  </si>
  <si>
    <t>2024-02-14</t>
  </si>
  <si>
    <t>Punjab National Bank</t>
  </si>
  <si>
    <t>PUNB0001207</t>
  </si>
  <si>
    <t>Branch Admin</t>
  </si>
  <si>
    <t>Sneha Pillai</t>
  </si>
  <si>
    <t>2024-02-20</t>
  </si>
  <si>
    <t>Indian Bank</t>
  </si>
  <si>
    <t>IDIB0001208</t>
  </si>
  <si>
    <t>Payroll Associate</t>
  </si>
  <si>
    <t>Aditya Menon</t>
  </si>
  <si>
    <t>2024-03-01</t>
  </si>
  <si>
    <t>Bank of Baroda</t>
  </si>
  <si>
    <t>BARB0001209</t>
  </si>
  <si>
    <t>Field Executive</t>
  </si>
  <si>
    <t>Priya Kulkarni</t>
  </si>
  <si>
    <t>2024-03-04</t>
  </si>
  <si>
    <t>Union Bank of India</t>
  </si>
  <si>
    <t>UBIN0001210</t>
  </si>
  <si>
    <t>Client Support Executive</t>
  </si>
  <si>
    <t>Manoj Kumar</t>
  </si>
  <si>
    <t>2024-03-11</t>
  </si>
  <si>
    <t>UTIB0001211</t>
  </si>
  <si>
    <t>Warehouse Incharge</t>
  </si>
  <si>
    <t>Nisha Thomas</t>
  </si>
  <si>
    <t>2024-03-18</t>
  </si>
  <si>
    <t>Federal Bank</t>
  </si>
  <si>
    <t>FDRL0001212</t>
  </si>
  <si>
    <t>Data Entry Operator</t>
  </si>
  <si>
    <t>Arjun Patel</t>
  </si>
  <si>
    <t>2024-03-21</t>
  </si>
  <si>
    <t>SBIN0001213</t>
  </si>
  <si>
    <t>Inventory Analyst</t>
  </si>
  <si>
    <t>Kavya Reddy</t>
  </si>
  <si>
    <t>2024-04-02</t>
  </si>
  <si>
    <t>ICIC0001214</t>
  </si>
  <si>
    <t>Compliance Executive</t>
  </si>
  <si>
    <t>Harish Babu</t>
  </si>
  <si>
    <t>2024-04-06</t>
  </si>
  <si>
    <t>CNRB0001215</t>
  </si>
  <si>
    <t>Driver</t>
  </si>
  <si>
    <t>Pooja Joshi</t>
  </si>
  <si>
    <t>2024-04-10</t>
  </si>
  <si>
    <t>HDFC0001216</t>
  </si>
  <si>
    <t>Admin Executive</t>
  </si>
  <si>
    <t>Sanjay Roy</t>
  </si>
  <si>
    <t>2024-04-15</t>
  </si>
  <si>
    <t>Bank of India</t>
  </si>
  <si>
    <t>BKID0001217</t>
  </si>
  <si>
    <t>Security Supervisor</t>
  </si>
  <si>
    <t>Neha Gupta</t>
  </si>
  <si>
    <t>2024-04-22</t>
  </si>
  <si>
    <t>KKBK0001218</t>
  </si>
  <si>
    <t>Office Assistant</t>
  </si>
  <si>
    <t>Ritesh Yadav</t>
  </si>
  <si>
    <t>2024-05-01</t>
  </si>
  <si>
    <t>Indian Overseas Bank</t>
  </si>
  <si>
    <t>IOBA0001219</t>
  </si>
  <si>
    <t>Maintenance Technician</t>
  </si>
  <si>
    <t>Aishwarya Sen</t>
  </si>
  <si>
    <t>2024-05-07</t>
  </si>
  <si>
    <t>UTIB0001220</t>
  </si>
  <si>
    <t>Recruitment Coordinator</t>
  </si>
  <si>
    <t>Deepak Chandra</t>
  </si>
  <si>
    <t>2024-05-10</t>
  </si>
  <si>
    <t>SBIN0001221</t>
  </si>
  <si>
    <t>Loader</t>
  </si>
  <si>
    <t>Shreya Banerjee</t>
  </si>
  <si>
    <t>2024-05-15</t>
  </si>
  <si>
    <t>ICIC0001222</t>
  </si>
  <si>
    <t>Training Executive</t>
  </si>
  <si>
    <t>Akash Mishra</t>
  </si>
  <si>
    <t>2024-05-21</t>
  </si>
  <si>
    <t>PUNB0001223</t>
  </si>
  <si>
    <t>Procurement Officer</t>
  </si>
  <si>
    <t>Divya Kapoor</t>
  </si>
  <si>
    <t>2024-06-03</t>
  </si>
  <si>
    <t>HDFC0001224</t>
  </si>
  <si>
    <t>Front Desk Associate</t>
  </si>
  <si>
    <t>Gaurav Jain</t>
  </si>
  <si>
    <t>2024-06-08</t>
  </si>
  <si>
    <t>UBIN0001225</t>
  </si>
  <si>
    <t>Quality Inspector</t>
  </si>
  <si>
    <t>Ishita Paul</t>
  </si>
  <si>
    <t>2024-06-14</t>
  </si>
  <si>
    <t>Yes Bank</t>
  </si>
  <si>
    <t>YESB0001226</t>
  </si>
  <si>
    <t>Customer Success Executive</t>
  </si>
  <si>
    <t>Rahul Sinha</t>
  </si>
  <si>
    <t>2024-06-19</t>
  </si>
  <si>
    <t>BARB0001227</t>
  </si>
  <si>
    <t>Dispatch Assistant</t>
  </si>
  <si>
    <t>Anjali Mehta</t>
  </si>
  <si>
    <t>2024-07-01</t>
  </si>
  <si>
    <t>CNRB0001228</t>
  </si>
  <si>
    <t>Documentation Executive</t>
  </si>
  <si>
    <t>Naveen Prasad</t>
  </si>
  <si>
    <t>2024-07-09</t>
  </si>
  <si>
    <t>SBIN0001229</t>
  </si>
  <si>
    <t>Office Manager</t>
  </si>
  <si>
    <t>Farah Khan</t>
  </si>
  <si>
    <t>2024-07-15</t>
  </si>
  <si>
    <t>ICIC0001230</t>
  </si>
  <si>
    <t>Helpdesk Executive</t>
  </si>
  <si>
    <t>ID</t>
  </si>
  <si>
    <t>FULL NAME</t>
  </si>
  <si>
    <t>Days Paid</t>
  </si>
  <si>
    <t>OT Hours</t>
  </si>
  <si>
    <t>Wages Earned</t>
  </si>
  <si>
    <t>HRA</t>
  </si>
  <si>
    <t>Proj Allowance</t>
  </si>
  <si>
    <t>V Allowance</t>
  </si>
  <si>
    <t>OT Amount</t>
  </si>
  <si>
    <t>H Allowance</t>
  </si>
  <si>
    <t>S Allowance</t>
  </si>
  <si>
    <t>SCA / DA</t>
  </si>
  <si>
    <t>Mess Allow</t>
  </si>
  <si>
    <t>Bonus @ 8.33%</t>
  </si>
  <si>
    <t>Area Allowance</t>
  </si>
  <si>
    <t>Washing Allowance</t>
  </si>
  <si>
    <t>Performance Allowance</t>
  </si>
  <si>
    <t>GROSS AMT</t>
  </si>
  <si>
    <t>EPF</t>
  </si>
  <si>
    <t>Mess</t>
  </si>
  <si>
    <t>Advance</t>
  </si>
  <si>
    <t>TDS</t>
  </si>
  <si>
    <t>Total Deduction</t>
  </si>
  <si>
    <t>Net Pay Credited to Bank A/c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</si>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</sst>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name val="Helvetica Neue"/>
      <family val="2"/>
    </font>
    <font>
      <sz val="1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49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1"/>
  <sheetViews>
    <sheetView workbookViewId="0">
      <selection activeCell="A2" sqref="A2:A31"/>
    </sheetView>
  </sheetViews>
  <sheetFormatPr baseColWidth="10" defaultColWidth="8.33203125" defaultRowHeight="20" customHeight="1" x14ac:dyDescent="0.15"/>
  <cols>
    <col min="1" max="1" width="11" style="3" bestFit="1" customWidth="1"/>
    <col min="2" max="2" width="13.5" style="3" bestFit="1" customWidth="1"/>
    <col min="3" max="3" width="13.1640625" style="3" bestFit="1" customWidth="1"/>
    <col min="4" max="4" width="9" style="3" customWidth="1"/>
    <col min="5" max="5" width="11.1640625" style="3" bestFit="1" customWidth="1"/>
    <col min="6" max="6" width="13.83203125" style="3" customWidth="1"/>
    <col min="7" max="7" width="13.1640625" style="6" bestFit="1" customWidth="1"/>
    <col min="8" max="8" width="17.6640625" style="3" bestFit="1" customWidth="1"/>
    <col min="9" max="9" width="12.83203125" style="3" bestFit="1" customWidth="1"/>
    <col min="10" max="10" width="14.83203125" style="3" bestFit="1" customWidth="1"/>
    <col min="11" max="11" width="23" style="3" bestFit="1" customWidth="1"/>
    <col min="12" max="12" width="10" style="3" customWidth="1"/>
    <col min="13" max="13" width="8.33203125" style="3" customWidth="1"/>
    <col min="14" max="16384" width="8.33203125" style="3"/>
  </cols>
  <sheetData>
    <row r="1" spans="1:12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0.25" customHeight="1" x14ac:dyDescent="0.15">
      <c r="A2" s="4">
        <v>1001</v>
      </c>
      <c r="B2" s="5" t="s">
        <v>12</v>
      </c>
      <c r="C2" s="3">
        <v>9876501001</v>
      </c>
      <c r="D2" s="5" t="s">
        <v>13</v>
      </c>
      <c r="E2" s="5" t="s">
        <v>14</v>
      </c>
      <c r="F2" s="5" t="s">
        <v>15</v>
      </c>
      <c r="G2" s="6">
        <v>100100100001</v>
      </c>
      <c r="H2" s="5" t="s">
        <v>16</v>
      </c>
      <c r="I2" s="5" t="s">
        <v>17</v>
      </c>
      <c r="J2" s="6">
        <v>501001000001</v>
      </c>
      <c r="K2" s="5" t="s">
        <v>18</v>
      </c>
      <c r="L2" s="3">
        <v>18500</v>
      </c>
    </row>
    <row r="3" spans="1:12" ht="20" customHeight="1" x14ac:dyDescent="0.15">
      <c r="A3" s="4">
        <v>1002</v>
      </c>
      <c r="B3" s="5" t="s">
        <v>19</v>
      </c>
      <c r="C3" s="3">
        <v>9876501002</v>
      </c>
      <c r="D3" s="5" t="s">
        <v>13</v>
      </c>
      <c r="E3" s="5" t="s">
        <v>14</v>
      </c>
      <c r="F3" s="5" t="s">
        <v>20</v>
      </c>
      <c r="G3" s="6">
        <v>100100100002</v>
      </c>
      <c r="H3" s="5" t="s">
        <v>21</v>
      </c>
      <c r="I3" s="5" t="s">
        <v>22</v>
      </c>
      <c r="J3" s="6">
        <v>501001000002</v>
      </c>
      <c r="K3" s="5" t="s">
        <v>23</v>
      </c>
      <c r="L3" s="3">
        <v>22000</v>
      </c>
    </row>
    <row r="4" spans="1:12" ht="20" customHeight="1" x14ac:dyDescent="0.15">
      <c r="A4" s="4">
        <v>1003</v>
      </c>
      <c r="B4" s="5" t="s">
        <v>24</v>
      </c>
      <c r="C4" s="3">
        <v>9876501003</v>
      </c>
      <c r="D4" s="5" t="s">
        <v>13</v>
      </c>
      <c r="E4" s="5" t="s">
        <v>25</v>
      </c>
      <c r="F4" s="5" t="s">
        <v>26</v>
      </c>
      <c r="G4" s="6">
        <v>100100100003</v>
      </c>
      <c r="H4" s="5" t="s">
        <v>27</v>
      </c>
      <c r="I4" s="5" t="s">
        <v>28</v>
      </c>
      <c r="J4" s="6">
        <v>501001000003</v>
      </c>
      <c r="K4" s="5" t="s">
        <v>29</v>
      </c>
      <c r="L4" s="3">
        <v>16250</v>
      </c>
    </row>
    <row r="5" spans="1:12" ht="20" customHeight="1" x14ac:dyDescent="0.15">
      <c r="A5" s="4">
        <v>1004</v>
      </c>
      <c r="B5" s="5" t="s">
        <v>30</v>
      </c>
      <c r="C5" s="3">
        <v>9876501004</v>
      </c>
      <c r="D5" s="5" t="s">
        <v>13</v>
      </c>
      <c r="E5" s="5" t="s">
        <v>14</v>
      </c>
      <c r="F5" s="5" t="s">
        <v>31</v>
      </c>
      <c r="G5" s="6">
        <v>100100100004</v>
      </c>
      <c r="H5" s="5" t="s">
        <v>32</v>
      </c>
      <c r="I5" s="5" t="s">
        <v>33</v>
      </c>
      <c r="J5" s="6">
        <v>501001000004</v>
      </c>
      <c r="K5" s="5" t="s">
        <v>34</v>
      </c>
      <c r="L5" s="3">
        <v>21000</v>
      </c>
    </row>
    <row r="6" spans="1:12" ht="20" customHeight="1" x14ac:dyDescent="0.15">
      <c r="A6" s="4">
        <v>1005</v>
      </c>
      <c r="B6" s="5" t="s">
        <v>35</v>
      </c>
      <c r="C6" s="3">
        <v>9876501005</v>
      </c>
      <c r="D6" s="5" t="s">
        <v>13</v>
      </c>
      <c r="E6" s="5" t="s">
        <v>14</v>
      </c>
      <c r="F6" s="5" t="s">
        <v>36</v>
      </c>
      <c r="G6" s="6">
        <v>100100100005</v>
      </c>
      <c r="H6" s="5" t="s">
        <v>37</v>
      </c>
      <c r="I6" s="5" t="s">
        <v>38</v>
      </c>
      <c r="J6" s="6">
        <v>501001000005</v>
      </c>
      <c r="K6" s="5" t="s">
        <v>39</v>
      </c>
      <c r="L6" s="3">
        <v>19800</v>
      </c>
    </row>
    <row r="7" spans="1:12" ht="20" customHeight="1" x14ac:dyDescent="0.15">
      <c r="A7" s="4">
        <v>1006</v>
      </c>
      <c r="B7" s="5" t="s">
        <v>40</v>
      </c>
      <c r="C7" s="3">
        <v>9876501006</v>
      </c>
      <c r="D7" s="5" t="s">
        <v>13</v>
      </c>
      <c r="E7" s="5" t="s">
        <v>25</v>
      </c>
      <c r="F7" s="5" t="s">
        <v>41</v>
      </c>
      <c r="G7" s="6">
        <v>100100100006</v>
      </c>
      <c r="H7" s="5" t="s">
        <v>42</v>
      </c>
      <c r="I7" s="5" t="s">
        <v>43</v>
      </c>
      <c r="J7" s="6">
        <v>501001000006</v>
      </c>
      <c r="K7" s="5" t="s">
        <v>44</v>
      </c>
      <c r="L7" s="3">
        <v>15000</v>
      </c>
    </row>
    <row r="8" spans="1:12" ht="20" customHeight="1" x14ac:dyDescent="0.15">
      <c r="A8" s="4">
        <v>1007</v>
      </c>
      <c r="B8" s="5" t="s">
        <v>45</v>
      </c>
      <c r="C8" s="3">
        <v>9876501007</v>
      </c>
      <c r="D8" s="5" t="s">
        <v>13</v>
      </c>
      <c r="E8" s="5" t="s">
        <v>14</v>
      </c>
      <c r="F8" s="5" t="s">
        <v>46</v>
      </c>
      <c r="G8" s="6">
        <v>100100100007</v>
      </c>
      <c r="H8" s="5" t="s">
        <v>47</v>
      </c>
      <c r="I8" s="5" t="s">
        <v>48</v>
      </c>
      <c r="J8" s="6">
        <v>501001000007</v>
      </c>
      <c r="K8" s="5" t="s">
        <v>49</v>
      </c>
      <c r="L8" s="3">
        <v>24000</v>
      </c>
    </row>
    <row r="9" spans="1:12" ht="20" customHeight="1" x14ac:dyDescent="0.15">
      <c r="A9" s="4">
        <v>1008</v>
      </c>
      <c r="B9" s="5" t="s">
        <v>50</v>
      </c>
      <c r="C9" s="3">
        <v>9876501008</v>
      </c>
      <c r="D9" s="5" t="s">
        <v>13</v>
      </c>
      <c r="E9" s="5" t="s">
        <v>14</v>
      </c>
      <c r="F9" s="5" t="s">
        <v>51</v>
      </c>
      <c r="G9" s="6">
        <v>100100100008</v>
      </c>
      <c r="H9" s="5" t="s">
        <v>52</v>
      </c>
      <c r="I9" s="5" t="s">
        <v>53</v>
      </c>
      <c r="J9" s="6">
        <v>501001000008</v>
      </c>
      <c r="K9" s="5" t="s">
        <v>54</v>
      </c>
      <c r="L9" s="3">
        <v>20500</v>
      </c>
    </row>
    <row r="10" spans="1:12" ht="20" customHeight="1" x14ac:dyDescent="0.15">
      <c r="A10" s="4">
        <v>1009</v>
      </c>
      <c r="B10" s="5" t="s">
        <v>55</v>
      </c>
      <c r="C10" s="3">
        <v>9876501009</v>
      </c>
      <c r="D10" s="5" t="s">
        <v>13</v>
      </c>
      <c r="E10" s="5" t="s">
        <v>25</v>
      </c>
      <c r="F10" s="5" t="s">
        <v>56</v>
      </c>
      <c r="G10" s="6">
        <v>100100100009</v>
      </c>
      <c r="H10" s="5" t="s">
        <v>57</v>
      </c>
      <c r="I10" s="5" t="s">
        <v>58</v>
      </c>
      <c r="J10" s="6">
        <v>501001000009</v>
      </c>
      <c r="K10" s="5" t="s">
        <v>59</v>
      </c>
      <c r="L10" s="3">
        <v>17200</v>
      </c>
    </row>
    <row r="11" spans="1:12" ht="20" customHeight="1" x14ac:dyDescent="0.15">
      <c r="A11" s="4">
        <v>1010</v>
      </c>
      <c r="B11" s="5" t="s">
        <v>60</v>
      </c>
      <c r="C11" s="3">
        <v>9876501010</v>
      </c>
      <c r="D11" s="5" t="s">
        <v>13</v>
      </c>
      <c r="E11" s="5" t="s">
        <v>14</v>
      </c>
      <c r="F11" s="5" t="s">
        <v>61</v>
      </c>
      <c r="G11" s="6">
        <v>100100100010</v>
      </c>
      <c r="H11" s="5" t="s">
        <v>62</v>
      </c>
      <c r="I11" s="5" t="s">
        <v>63</v>
      </c>
      <c r="J11" s="6">
        <v>501001000010</v>
      </c>
      <c r="K11" s="5" t="s">
        <v>64</v>
      </c>
      <c r="L11" s="3">
        <v>18800</v>
      </c>
    </row>
    <row r="12" spans="1:12" ht="20" customHeight="1" x14ac:dyDescent="0.15">
      <c r="A12" s="4">
        <v>1011</v>
      </c>
      <c r="B12" s="5" t="s">
        <v>65</v>
      </c>
      <c r="C12" s="3">
        <v>9876501011</v>
      </c>
      <c r="D12" s="5" t="s">
        <v>13</v>
      </c>
      <c r="E12" s="5" t="s">
        <v>14</v>
      </c>
      <c r="F12" s="5" t="s">
        <v>66</v>
      </c>
      <c r="G12" s="6">
        <v>100100100011</v>
      </c>
      <c r="H12" s="5" t="s">
        <v>32</v>
      </c>
      <c r="I12" s="5" t="s">
        <v>67</v>
      </c>
      <c r="J12" s="6">
        <v>501001000011</v>
      </c>
      <c r="K12" s="5" t="s">
        <v>68</v>
      </c>
      <c r="L12" s="3">
        <v>23000</v>
      </c>
    </row>
    <row r="13" spans="1:12" ht="20" customHeight="1" x14ac:dyDescent="0.15">
      <c r="A13" s="4">
        <v>1012</v>
      </c>
      <c r="B13" s="5" t="s">
        <v>69</v>
      </c>
      <c r="C13" s="3">
        <v>9876501012</v>
      </c>
      <c r="D13" s="5" t="s">
        <v>13</v>
      </c>
      <c r="E13" s="5" t="s">
        <v>25</v>
      </c>
      <c r="F13" s="5" t="s">
        <v>70</v>
      </c>
      <c r="G13" s="6">
        <v>100100100012</v>
      </c>
      <c r="H13" s="5" t="s">
        <v>71</v>
      </c>
      <c r="I13" s="5" t="s">
        <v>72</v>
      </c>
      <c r="J13" s="6">
        <v>501001000012</v>
      </c>
      <c r="K13" s="5" t="s">
        <v>73</v>
      </c>
      <c r="L13" s="3">
        <v>14800</v>
      </c>
    </row>
    <row r="14" spans="1:12" ht="20" customHeight="1" x14ac:dyDescent="0.15">
      <c r="A14" s="4">
        <v>1013</v>
      </c>
      <c r="B14" s="5" t="s">
        <v>74</v>
      </c>
      <c r="C14" s="3">
        <v>9876501013</v>
      </c>
      <c r="D14" s="5" t="s">
        <v>13</v>
      </c>
      <c r="E14" s="5" t="s">
        <v>14</v>
      </c>
      <c r="F14" s="5" t="s">
        <v>75</v>
      </c>
      <c r="G14" s="6">
        <v>100100100013</v>
      </c>
      <c r="H14" s="5" t="s">
        <v>27</v>
      </c>
      <c r="I14" s="5" t="s">
        <v>76</v>
      </c>
      <c r="J14" s="6">
        <v>501001000013</v>
      </c>
      <c r="K14" s="5" t="s">
        <v>77</v>
      </c>
      <c r="L14" s="3">
        <v>21200</v>
      </c>
    </row>
    <row r="15" spans="1:12" ht="20" customHeight="1" x14ac:dyDescent="0.15">
      <c r="A15" s="4">
        <v>1014</v>
      </c>
      <c r="B15" s="5" t="s">
        <v>78</v>
      </c>
      <c r="C15" s="3">
        <v>9876501014</v>
      </c>
      <c r="D15" s="5" t="s">
        <v>13</v>
      </c>
      <c r="E15" s="5" t="s">
        <v>14</v>
      </c>
      <c r="F15" s="5" t="s">
        <v>79</v>
      </c>
      <c r="G15" s="6">
        <v>100100100014</v>
      </c>
      <c r="H15" s="5" t="s">
        <v>21</v>
      </c>
      <c r="I15" s="5" t="s">
        <v>80</v>
      </c>
      <c r="J15" s="6">
        <v>501001000014</v>
      </c>
      <c r="K15" s="5" t="s">
        <v>81</v>
      </c>
      <c r="L15" s="3">
        <v>22500</v>
      </c>
    </row>
    <row r="16" spans="1:12" ht="20" customHeight="1" x14ac:dyDescent="0.15">
      <c r="A16" s="4">
        <v>1015</v>
      </c>
      <c r="B16" s="5" t="s">
        <v>82</v>
      </c>
      <c r="C16" s="3">
        <v>9876501015</v>
      </c>
      <c r="D16" s="5" t="s">
        <v>13</v>
      </c>
      <c r="E16" s="5" t="s">
        <v>25</v>
      </c>
      <c r="F16" s="5" t="s">
        <v>83</v>
      </c>
      <c r="G16" s="6">
        <v>100100100015</v>
      </c>
      <c r="H16" s="5" t="s">
        <v>42</v>
      </c>
      <c r="I16" s="5" t="s">
        <v>84</v>
      </c>
      <c r="J16" s="6">
        <v>501001000015</v>
      </c>
      <c r="K16" s="5" t="s">
        <v>85</v>
      </c>
      <c r="L16" s="3">
        <v>14000</v>
      </c>
    </row>
    <row r="17" spans="1:12" ht="20" customHeight="1" x14ac:dyDescent="0.15">
      <c r="A17" s="4">
        <v>1016</v>
      </c>
      <c r="B17" s="5" t="s">
        <v>86</v>
      </c>
      <c r="C17" s="3">
        <v>9876501016</v>
      </c>
      <c r="D17" s="5" t="s">
        <v>13</v>
      </c>
      <c r="E17" s="5" t="s">
        <v>14</v>
      </c>
      <c r="F17" s="5" t="s">
        <v>87</v>
      </c>
      <c r="G17" s="6">
        <v>100100100016</v>
      </c>
      <c r="H17" s="5" t="s">
        <v>16</v>
      </c>
      <c r="I17" s="5" t="s">
        <v>88</v>
      </c>
      <c r="J17" s="6">
        <v>501001000016</v>
      </c>
      <c r="K17" s="5" t="s">
        <v>89</v>
      </c>
      <c r="L17" s="3">
        <v>19000</v>
      </c>
    </row>
    <row r="18" spans="1:12" ht="20" customHeight="1" x14ac:dyDescent="0.15">
      <c r="A18" s="4">
        <v>1017</v>
      </c>
      <c r="B18" s="5" t="s">
        <v>90</v>
      </c>
      <c r="C18" s="3">
        <v>9876501017</v>
      </c>
      <c r="D18" s="5" t="s">
        <v>13</v>
      </c>
      <c r="E18" s="5" t="s">
        <v>14</v>
      </c>
      <c r="F18" s="5" t="s">
        <v>91</v>
      </c>
      <c r="G18" s="6">
        <v>100100100017</v>
      </c>
      <c r="H18" s="5" t="s">
        <v>92</v>
      </c>
      <c r="I18" s="5" t="s">
        <v>93</v>
      </c>
      <c r="J18" s="6">
        <v>501001000017</v>
      </c>
      <c r="K18" s="5" t="s">
        <v>94</v>
      </c>
      <c r="L18" s="3">
        <v>17600</v>
      </c>
    </row>
    <row r="19" spans="1:12" ht="20" customHeight="1" x14ac:dyDescent="0.15">
      <c r="A19" s="4">
        <v>1018</v>
      </c>
      <c r="B19" s="5" t="s">
        <v>95</v>
      </c>
      <c r="C19" s="3">
        <v>9876501018</v>
      </c>
      <c r="D19" s="5" t="s">
        <v>13</v>
      </c>
      <c r="E19" s="5" t="s">
        <v>25</v>
      </c>
      <c r="F19" s="5" t="s">
        <v>96</v>
      </c>
      <c r="G19" s="6">
        <v>100100100018</v>
      </c>
      <c r="H19" s="5" t="s">
        <v>37</v>
      </c>
      <c r="I19" s="5" t="s">
        <v>97</v>
      </c>
      <c r="J19" s="6">
        <v>501001000018</v>
      </c>
      <c r="K19" s="5" t="s">
        <v>98</v>
      </c>
      <c r="L19" s="3">
        <v>15200</v>
      </c>
    </row>
    <row r="20" spans="1:12" ht="20" customHeight="1" x14ac:dyDescent="0.15">
      <c r="A20" s="4">
        <v>1019</v>
      </c>
      <c r="B20" s="5" t="s">
        <v>99</v>
      </c>
      <c r="C20" s="3">
        <v>9876501019</v>
      </c>
      <c r="D20" s="5" t="s">
        <v>13</v>
      </c>
      <c r="E20" s="5" t="s">
        <v>14</v>
      </c>
      <c r="F20" s="5" t="s">
        <v>100</v>
      </c>
      <c r="G20" s="6">
        <v>100100100019</v>
      </c>
      <c r="H20" s="5" t="s">
        <v>101</v>
      </c>
      <c r="I20" s="5" t="s">
        <v>102</v>
      </c>
      <c r="J20" s="6">
        <v>501001000019</v>
      </c>
      <c r="K20" s="5" t="s">
        <v>103</v>
      </c>
      <c r="L20" s="3">
        <v>18400</v>
      </c>
    </row>
    <row r="21" spans="1:12" ht="20" customHeight="1" x14ac:dyDescent="0.15">
      <c r="A21" s="4">
        <v>1020</v>
      </c>
      <c r="B21" s="5" t="s">
        <v>104</v>
      </c>
      <c r="C21" s="3">
        <v>9876501020</v>
      </c>
      <c r="D21" s="5" t="s">
        <v>13</v>
      </c>
      <c r="E21" s="5" t="s">
        <v>14</v>
      </c>
      <c r="F21" s="5" t="s">
        <v>105</v>
      </c>
      <c r="G21" s="6">
        <v>100100100020</v>
      </c>
      <c r="H21" s="5" t="s">
        <v>32</v>
      </c>
      <c r="I21" s="5" t="s">
        <v>106</v>
      </c>
      <c r="J21" s="6">
        <v>501001000020</v>
      </c>
      <c r="K21" s="5" t="s">
        <v>107</v>
      </c>
      <c r="L21" s="3">
        <v>21400</v>
      </c>
    </row>
    <row r="22" spans="1:12" ht="20" customHeight="1" x14ac:dyDescent="0.15">
      <c r="A22" s="4">
        <v>1021</v>
      </c>
      <c r="B22" s="5" t="s">
        <v>108</v>
      </c>
      <c r="C22" s="3">
        <v>9876501021</v>
      </c>
      <c r="D22" s="5" t="s">
        <v>13</v>
      </c>
      <c r="E22" s="5" t="s">
        <v>25</v>
      </c>
      <c r="F22" s="5" t="s">
        <v>109</v>
      </c>
      <c r="G22" s="6">
        <v>100100100021</v>
      </c>
      <c r="H22" s="5" t="s">
        <v>27</v>
      </c>
      <c r="I22" s="5" t="s">
        <v>110</v>
      </c>
      <c r="J22" s="6">
        <v>501001000021</v>
      </c>
      <c r="K22" s="5" t="s">
        <v>111</v>
      </c>
      <c r="L22" s="3">
        <v>13800</v>
      </c>
    </row>
    <row r="23" spans="1:12" ht="20" customHeight="1" x14ac:dyDescent="0.15">
      <c r="A23" s="4">
        <v>1022</v>
      </c>
      <c r="B23" s="5" t="s">
        <v>112</v>
      </c>
      <c r="C23" s="3">
        <v>9876501022</v>
      </c>
      <c r="D23" s="5" t="s">
        <v>13</v>
      </c>
      <c r="E23" s="5" t="s">
        <v>14</v>
      </c>
      <c r="F23" s="5" t="s">
        <v>113</v>
      </c>
      <c r="G23" s="6">
        <v>100100100022</v>
      </c>
      <c r="H23" s="5" t="s">
        <v>21</v>
      </c>
      <c r="I23" s="5" t="s">
        <v>114</v>
      </c>
      <c r="J23" s="6">
        <v>501001000022</v>
      </c>
      <c r="K23" s="5" t="s">
        <v>115</v>
      </c>
      <c r="L23" s="3">
        <v>20800</v>
      </c>
    </row>
    <row r="24" spans="1:12" ht="20" customHeight="1" x14ac:dyDescent="0.15">
      <c r="A24" s="4">
        <v>1023</v>
      </c>
      <c r="B24" s="5" t="s">
        <v>116</v>
      </c>
      <c r="C24" s="3">
        <v>9876501023</v>
      </c>
      <c r="D24" s="5" t="s">
        <v>13</v>
      </c>
      <c r="E24" s="5" t="s">
        <v>14</v>
      </c>
      <c r="F24" s="5" t="s">
        <v>117</v>
      </c>
      <c r="G24" s="6">
        <v>100100100023</v>
      </c>
      <c r="H24" s="5" t="s">
        <v>47</v>
      </c>
      <c r="I24" s="5" t="s">
        <v>118</v>
      </c>
      <c r="J24" s="6">
        <v>501001000023</v>
      </c>
      <c r="K24" s="5" t="s">
        <v>119</v>
      </c>
      <c r="L24" s="3">
        <v>22100</v>
      </c>
    </row>
    <row r="25" spans="1:12" ht="20" customHeight="1" x14ac:dyDescent="0.15">
      <c r="A25" s="4">
        <v>1024</v>
      </c>
      <c r="B25" s="5" t="s">
        <v>120</v>
      </c>
      <c r="C25" s="3">
        <v>9876501024</v>
      </c>
      <c r="D25" s="5" t="s">
        <v>13</v>
      </c>
      <c r="E25" s="5" t="s">
        <v>25</v>
      </c>
      <c r="F25" s="5" t="s">
        <v>121</v>
      </c>
      <c r="G25" s="6">
        <v>100100100024</v>
      </c>
      <c r="H25" s="5" t="s">
        <v>16</v>
      </c>
      <c r="I25" s="5" t="s">
        <v>122</v>
      </c>
      <c r="J25" s="6">
        <v>501001000024</v>
      </c>
      <c r="K25" s="5" t="s">
        <v>123</v>
      </c>
      <c r="L25" s="3">
        <v>15500</v>
      </c>
    </row>
    <row r="26" spans="1:12" ht="20" customHeight="1" x14ac:dyDescent="0.15">
      <c r="A26" s="4">
        <v>1025</v>
      </c>
      <c r="B26" s="5" t="s">
        <v>124</v>
      </c>
      <c r="C26" s="3">
        <v>9876501025</v>
      </c>
      <c r="D26" s="5" t="s">
        <v>13</v>
      </c>
      <c r="E26" s="5" t="s">
        <v>14</v>
      </c>
      <c r="F26" s="5" t="s">
        <v>125</v>
      </c>
      <c r="G26" s="6">
        <v>100100100025</v>
      </c>
      <c r="H26" s="5" t="s">
        <v>62</v>
      </c>
      <c r="I26" s="5" t="s">
        <v>126</v>
      </c>
      <c r="J26" s="6">
        <v>501001000025</v>
      </c>
      <c r="K26" s="5" t="s">
        <v>127</v>
      </c>
      <c r="L26" s="3">
        <v>19600</v>
      </c>
    </row>
    <row r="27" spans="1:12" ht="20" customHeight="1" x14ac:dyDescent="0.15">
      <c r="A27" s="4">
        <v>1026</v>
      </c>
      <c r="B27" s="5" t="s">
        <v>128</v>
      </c>
      <c r="C27" s="3">
        <v>9876501026</v>
      </c>
      <c r="D27" s="5" t="s">
        <v>13</v>
      </c>
      <c r="E27" s="5" t="s">
        <v>14</v>
      </c>
      <c r="F27" s="5" t="s">
        <v>129</v>
      </c>
      <c r="G27" s="6">
        <v>100100100026</v>
      </c>
      <c r="H27" s="5" t="s">
        <v>130</v>
      </c>
      <c r="I27" s="5" t="s">
        <v>131</v>
      </c>
      <c r="J27" s="6">
        <v>501001000026</v>
      </c>
      <c r="K27" s="5" t="s">
        <v>132</v>
      </c>
      <c r="L27" s="3">
        <v>20200</v>
      </c>
    </row>
    <row r="28" spans="1:12" ht="20" customHeight="1" x14ac:dyDescent="0.15">
      <c r="A28" s="4">
        <v>1027</v>
      </c>
      <c r="B28" s="5" t="s">
        <v>133</v>
      </c>
      <c r="C28" s="3">
        <v>9876501027</v>
      </c>
      <c r="D28" s="5" t="s">
        <v>13</v>
      </c>
      <c r="E28" s="5" t="s">
        <v>25</v>
      </c>
      <c r="F28" s="5" t="s">
        <v>134</v>
      </c>
      <c r="G28" s="6">
        <v>100100100027</v>
      </c>
      <c r="H28" s="5" t="s">
        <v>57</v>
      </c>
      <c r="I28" s="5" t="s">
        <v>135</v>
      </c>
      <c r="J28" s="6">
        <v>501001000027</v>
      </c>
      <c r="K28" s="5" t="s">
        <v>136</v>
      </c>
      <c r="L28" s="3">
        <v>16000</v>
      </c>
    </row>
    <row r="29" spans="1:12" ht="20" customHeight="1" x14ac:dyDescent="0.15">
      <c r="A29" s="4">
        <v>1028</v>
      </c>
      <c r="B29" s="5" t="s">
        <v>137</v>
      </c>
      <c r="C29" s="3">
        <v>9876501028</v>
      </c>
      <c r="D29" s="5" t="s">
        <v>13</v>
      </c>
      <c r="E29" s="5" t="s">
        <v>14</v>
      </c>
      <c r="F29" s="5" t="s">
        <v>138</v>
      </c>
      <c r="G29" s="6">
        <v>100100100028</v>
      </c>
      <c r="H29" s="5" t="s">
        <v>42</v>
      </c>
      <c r="I29" s="5" t="s">
        <v>139</v>
      </c>
      <c r="J29" s="6">
        <v>501001000028</v>
      </c>
      <c r="K29" s="5" t="s">
        <v>140</v>
      </c>
      <c r="L29" s="3">
        <v>19400</v>
      </c>
    </row>
    <row r="30" spans="1:12" ht="20" customHeight="1" x14ac:dyDescent="0.15">
      <c r="A30" s="4">
        <v>1029</v>
      </c>
      <c r="B30" s="5" t="s">
        <v>141</v>
      </c>
      <c r="C30" s="3">
        <v>9876501029</v>
      </c>
      <c r="D30" s="5" t="s">
        <v>13</v>
      </c>
      <c r="E30" s="5" t="s">
        <v>14</v>
      </c>
      <c r="F30" s="5" t="s">
        <v>142</v>
      </c>
      <c r="G30" s="6">
        <v>100100100029</v>
      </c>
      <c r="H30" s="5" t="s">
        <v>27</v>
      </c>
      <c r="I30" s="5" t="s">
        <v>143</v>
      </c>
      <c r="J30" s="6">
        <v>501001000029</v>
      </c>
      <c r="K30" s="5" t="s">
        <v>144</v>
      </c>
      <c r="L30" s="3">
        <v>23800</v>
      </c>
    </row>
    <row r="31" spans="1:12" ht="20" customHeight="1" x14ac:dyDescent="0.15">
      <c r="A31" s="4">
        <v>1030</v>
      </c>
      <c r="B31" s="5" t="s">
        <v>145</v>
      </c>
      <c r="C31" s="3">
        <v>9876501030</v>
      </c>
      <c r="D31" s="5" t="s">
        <v>13</v>
      </c>
      <c r="E31" s="5" t="s">
        <v>25</v>
      </c>
      <c r="F31" s="5" t="s">
        <v>146</v>
      </c>
      <c r="G31" s="6">
        <v>100100100030</v>
      </c>
      <c r="H31" s="5" t="s">
        <v>21</v>
      </c>
      <c r="I31" s="5" t="s">
        <v>147</v>
      </c>
      <c r="J31" s="6">
        <v>501001000030</v>
      </c>
      <c r="K31" s="5" t="s">
        <v>148</v>
      </c>
      <c r="L31" s="3">
        <v>16800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31"/>
  <sheetViews>
    <sheetView tabSelected="1" workbookViewId="0">
      <selection activeCell="O12" sqref="O12"/>
    </sheetView>
  </sheetViews>
  <sheetFormatPr baseColWidth="10" defaultColWidth="13.33203125" defaultRowHeight="20" customHeight="1" x14ac:dyDescent="0.15"/>
  <cols>
    <col min="1" max="16384" width="13.33203125" style="7"/>
  </cols>
  <sheetData>
    <row r="1" spans="1:26" s="8" customFormat="1" ht="32.25" customHeight="1" x14ac:dyDescent="0.15">
      <c r="A1" s="9" t="s">
        <v>149</v>
      </c>
      <c r="B1" s="9" t="s">
        <v>150</v>
      </c>
      <c r="C1" s="9" t="s">
        <v>2</v>
      </c>
      <c r="D1" s="9" t="s">
        <v>3</v>
      </c>
      <c r="E1" s="9" t="s">
        <v>151</v>
      </c>
      <c r="F1" s="9" t="s">
        <v>152</v>
      </c>
      <c r="G1" s="9" t="s">
        <v>153</v>
      </c>
      <c r="H1" s="9" t="s">
        <v>154</v>
      </c>
      <c r="I1" s="9" t="s">
        <v>155</v>
      </c>
      <c r="J1" s="9" t="s">
        <v>156</v>
      </c>
      <c r="K1" s="9" t="s">
        <v>157</v>
      </c>
      <c r="L1" s="9" t="s">
        <v>158</v>
      </c>
      <c r="M1" s="9" t="s">
        <v>159</v>
      </c>
      <c r="N1" s="9" t="s">
        <v>160</v>
      </c>
      <c r="O1" s="9" t="s">
        <v>161</v>
      </c>
      <c r="P1" s="9" t="s">
        <v>162</v>
      </c>
      <c r="Q1" s="9" t="s">
        <v>163</v>
      </c>
      <c r="R1" s="9" t="s">
        <v>164</v>
      </c>
      <c r="S1" s="9" t="s">
        <v>165</v>
      </c>
      <c r="T1" s="9" t="s">
        <v>166</v>
      </c>
      <c r="U1" s="9" t="s">
        <v>167</v>
      </c>
      <c r="V1" s="9" t="s">
        <v>168</v>
      </c>
      <c r="W1" s="9" t="s">
        <v>169</v>
      </c>
      <c r="X1" s="9" t="s">
        <v>170</v>
      </c>
      <c r="Y1" s="9" t="s">
        <v>171</v>
      </c>
      <c r="Z1" s="9" t="s">
        <v>172</v>
      </c>
    </row>
    <row r="2" spans="1:26" ht="20.25" customHeight="1" x14ac:dyDescent="0.15">
      <c r="A2" s="10">
        <v>1001</v>
      </c>
      <c r="B2" s="10" t="str">
        <f>_xlfn.XLOOKUP(A2,Employees!A:A,Employees!B:B,"")</f>
        <v>Aarav Sharma</v>
      </c>
      <c r="C2" s="10">
        <f>_xlfn.XLOOKUP(A2,Employees!A:A,Employees!C:C,"")</f>
        <v>9876501001</v>
      </c>
      <c r="D2" s="10" t="str">
        <f>_xlfn.XLOOKUP(A2,Employees!A:A,Employees!D:D,"")</f>
        <v>Active</v>
      </c>
      <c r="E2" s="10">
        <v>31</v>
      </c>
      <c r="F2" s="10">
        <v>0</v>
      </c>
      <c r="G2" s="10">
        <v>18500</v>
      </c>
      <c r="H2" s="10">
        <v>7400</v>
      </c>
      <c r="I2" s="10">
        <v>2500</v>
      </c>
      <c r="J2" s="10" t="s">
        <v>173</v>
      </c>
      <c r="K2" s="10">
        <v>0</v>
      </c>
      <c r="L2" s="10" t="s">
        <v>173</v>
      </c>
      <c r="M2" s="10" t="s">
        <v>173</v>
      </c>
      <c r="N2" s="10">
        <v>1200</v>
      </c>
      <c r="O2" s="10">
        <v>1500</v>
      </c>
      <c r="P2" s="10">
        <v>0</v>
      </c>
      <c r="Q2" s="10" t="s">
        <v>173</v>
      </c>
      <c r="R2" s="10" t="s">
        <v>173</v>
      </c>
      <c r="S2" s="10">
        <v>1000</v>
      </c>
      <c r="T2" s="10">
        <v>32100</v>
      </c>
      <c r="U2" s="10">
        <v>1800</v>
      </c>
      <c r="V2" s="10">
        <v>600</v>
      </c>
      <c r="W2" s="10">
        <v>0</v>
      </c>
      <c r="X2" s="10">
        <v>300</v>
      </c>
      <c r="Y2" s="10">
        <v>2700</v>
      </c>
      <c r="Z2" s="10">
        <v>29400</v>
      </c>
    </row>
    <row r="3" spans="1:26" ht="20" customHeight="1" x14ac:dyDescent="0.15">
      <c r="A3" s="10">
        <v>1002</v>
      </c>
      <c r="B3" s="10" t="str">
        <f>_xlfn.XLOOKUP(A3,Employees!A:A,Employees!B:B,"")</f>
        <v>Diya Nair</v>
      </c>
      <c r="C3" s="10">
        <f>_xlfn.XLOOKUP(A3,Employees!A:A,Employees!C:C,"")</f>
        <v>9876501002</v>
      </c>
      <c r="D3" s="10" t="str">
        <f>_xlfn.XLOOKUP(A3,Employees!A:A,Employees!D:D,"")</f>
        <v>Active</v>
      </c>
      <c r="E3" s="10">
        <v>31</v>
      </c>
      <c r="F3" s="10">
        <v>0</v>
      </c>
      <c r="G3" s="10">
        <v>22000</v>
      </c>
      <c r="H3" s="10">
        <v>8800</v>
      </c>
      <c r="I3" s="10">
        <v>3000</v>
      </c>
      <c r="J3" s="10" t="s">
        <v>173</v>
      </c>
      <c r="K3" s="10">
        <v>0</v>
      </c>
      <c r="L3" s="10" t="s">
        <v>173</v>
      </c>
      <c r="M3" s="10" t="s">
        <v>173</v>
      </c>
      <c r="N3" s="10">
        <v>1400</v>
      </c>
      <c r="O3" s="10">
        <v>1500</v>
      </c>
      <c r="P3" s="10">
        <v>0</v>
      </c>
      <c r="Q3" s="10" t="s">
        <v>173</v>
      </c>
      <c r="R3" s="10" t="s">
        <v>173</v>
      </c>
      <c r="S3" s="10">
        <v>1200</v>
      </c>
      <c r="T3" s="10">
        <v>37900</v>
      </c>
      <c r="U3" s="10">
        <v>1800</v>
      </c>
      <c r="V3" s="10">
        <v>600</v>
      </c>
      <c r="W3" s="10">
        <v>0</v>
      </c>
      <c r="X3" s="10">
        <v>500</v>
      </c>
      <c r="Y3" s="10">
        <v>2900</v>
      </c>
      <c r="Z3" s="10">
        <v>35000</v>
      </c>
    </row>
    <row r="4" spans="1:26" ht="20" customHeight="1" x14ac:dyDescent="0.15">
      <c r="A4" s="10">
        <v>1003</v>
      </c>
      <c r="B4" s="10" t="str">
        <f>_xlfn.XLOOKUP(A4,Employees!A:A,Employees!B:B,"")</f>
        <v>Rohan Verma</v>
      </c>
      <c r="C4" s="10">
        <f>_xlfn.XLOOKUP(A4,Employees!A:A,Employees!C:C,"")</f>
        <v>9876501003</v>
      </c>
      <c r="D4" s="10" t="str">
        <f>_xlfn.XLOOKUP(A4,Employees!A:A,Employees!D:D,"")</f>
        <v>Active</v>
      </c>
      <c r="E4" s="10">
        <v>30</v>
      </c>
      <c r="F4" s="10">
        <v>0</v>
      </c>
      <c r="G4" s="10">
        <v>16250</v>
      </c>
      <c r="H4" s="10">
        <v>6500</v>
      </c>
      <c r="I4" s="10">
        <v>2200</v>
      </c>
      <c r="J4" s="10" t="s">
        <v>173</v>
      </c>
      <c r="K4" s="10">
        <v>0</v>
      </c>
      <c r="L4" s="10" t="s">
        <v>173</v>
      </c>
      <c r="M4" s="10" t="s">
        <v>173</v>
      </c>
      <c r="N4" s="10">
        <v>1000</v>
      </c>
      <c r="O4" s="10">
        <v>1200</v>
      </c>
      <c r="P4" s="10">
        <v>0</v>
      </c>
      <c r="Q4" s="10" t="s">
        <v>173</v>
      </c>
      <c r="R4" s="10" t="s">
        <v>173</v>
      </c>
      <c r="S4" s="10">
        <v>800</v>
      </c>
      <c r="T4" s="10">
        <v>27950</v>
      </c>
      <c r="U4" s="10">
        <v>1800</v>
      </c>
      <c r="V4" s="10">
        <v>500</v>
      </c>
      <c r="W4" s="10">
        <v>0</v>
      </c>
      <c r="X4" s="10">
        <v>0</v>
      </c>
      <c r="Y4" s="10">
        <v>2300</v>
      </c>
      <c r="Z4" s="10">
        <v>25650</v>
      </c>
    </row>
    <row r="5" spans="1:26" ht="20" customHeight="1" x14ac:dyDescent="0.15">
      <c r="A5" s="10">
        <v>1004</v>
      </c>
      <c r="B5" s="10" t="str">
        <f>_xlfn.XLOOKUP(A5,Employees!A:A,Employees!B:B,"")</f>
        <v>Meera Iyer</v>
      </c>
      <c r="C5" s="10">
        <f>_xlfn.XLOOKUP(A5,Employees!A:A,Employees!C:C,"")</f>
        <v>9876501004</v>
      </c>
      <c r="D5" s="10" t="str">
        <f>_xlfn.XLOOKUP(A5,Employees!A:A,Employees!D:D,"")</f>
        <v>Active</v>
      </c>
      <c r="E5" s="10">
        <v>31</v>
      </c>
      <c r="F5" s="10">
        <v>0</v>
      </c>
      <c r="G5" s="10">
        <v>21000</v>
      </c>
      <c r="H5" s="10">
        <v>8400</v>
      </c>
      <c r="I5" s="10">
        <v>2800</v>
      </c>
      <c r="J5" s="10" t="s">
        <v>173</v>
      </c>
      <c r="K5" s="10">
        <v>0</v>
      </c>
      <c r="L5" s="10" t="s">
        <v>173</v>
      </c>
      <c r="M5" s="10" t="s">
        <v>173</v>
      </c>
      <c r="N5" s="10">
        <v>1300</v>
      </c>
      <c r="O5" s="10">
        <v>1500</v>
      </c>
      <c r="P5" s="10">
        <v>0</v>
      </c>
      <c r="Q5" s="10" t="s">
        <v>173</v>
      </c>
      <c r="R5" s="10" t="s">
        <v>173</v>
      </c>
      <c r="S5" s="10">
        <v>1000</v>
      </c>
      <c r="T5" s="10">
        <v>36000</v>
      </c>
      <c r="U5" s="10">
        <v>1800</v>
      </c>
      <c r="V5" s="10">
        <v>600</v>
      </c>
      <c r="W5" s="10">
        <v>0</v>
      </c>
      <c r="X5" s="10">
        <v>400</v>
      </c>
      <c r="Y5" s="10">
        <v>2800</v>
      </c>
      <c r="Z5" s="10">
        <v>33200</v>
      </c>
    </row>
    <row r="6" spans="1:26" ht="20" customHeight="1" x14ac:dyDescent="0.15">
      <c r="A6" s="10">
        <v>1005</v>
      </c>
      <c r="B6" s="10" t="str">
        <f>_xlfn.XLOOKUP(A6,Employees!A:A,Employees!B:B,"")</f>
        <v>Karthik Rao</v>
      </c>
      <c r="C6" s="10">
        <f>_xlfn.XLOOKUP(A6,Employees!A:A,Employees!C:C,"")</f>
        <v>9876501005</v>
      </c>
      <c r="D6" s="10" t="str">
        <f>_xlfn.XLOOKUP(A6,Employees!A:A,Employees!D:D,"")</f>
        <v>Active</v>
      </c>
      <c r="E6" s="10">
        <v>30</v>
      </c>
      <c r="F6" s="10">
        <v>0</v>
      </c>
      <c r="G6" s="10">
        <v>19800</v>
      </c>
      <c r="H6" s="10">
        <v>7920</v>
      </c>
      <c r="I6" s="10">
        <v>2600</v>
      </c>
      <c r="J6" s="10" t="s">
        <v>173</v>
      </c>
      <c r="K6" s="10">
        <v>0</v>
      </c>
      <c r="L6" s="10" t="s">
        <v>173</v>
      </c>
      <c r="M6" s="10" t="s">
        <v>173</v>
      </c>
      <c r="N6" s="10">
        <v>1200</v>
      </c>
      <c r="O6" s="10">
        <v>1500</v>
      </c>
      <c r="P6" s="10">
        <v>0</v>
      </c>
      <c r="Q6" s="10" t="s">
        <v>173</v>
      </c>
      <c r="R6" s="10" t="s">
        <v>173</v>
      </c>
      <c r="S6" s="10">
        <v>900</v>
      </c>
      <c r="T6" s="10">
        <v>33920</v>
      </c>
      <c r="U6" s="10">
        <v>1800</v>
      </c>
      <c r="V6" s="10">
        <v>600</v>
      </c>
      <c r="W6" s="10">
        <v>1500</v>
      </c>
      <c r="X6" s="10">
        <v>200</v>
      </c>
      <c r="Y6" s="10">
        <v>4100</v>
      </c>
      <c r="Z6" s="10">
        <v>29820</v>
      </c>
    </row>
    <row r="7" spans="1:26" ht="20" customHeight="1" x14ac:dyDescent="0.15">
      <c r="A7" s="10">
        <v>1006</v>
      </c>
      <c r="B7" s="10" t="str">
        <f>_xlfn.XLOOKUP(A7,Employees!A:A,Employees!B:B,"")</f>
        <v>Ananya Das</v>
      </c>
      <c r="C7" s="10">
        <f>_xlfn.XLOOKUP(A7,Employees!A:A,Employees!C:C,"")</f>
        <v>9876501006</v>
      </c>
      <c r="D7" s="10" t="str">
        <f>_xlfn.XLOOKUP(A7,Employees!A:A,Employees!D:D,"")</f>
        <v>Active</v>
      </c>
      <c r="E7" s="10">
        <v>29</v>
      </c>
      <c r="F7" s="10">
        <v>0</v>
      </c>
      <c r="G7" s="10">
        <v>15000</v>
      </c>
      <c r="H7" s="10">
        <v>6000</v>
      </c>
      <c r="I7" s="10">
        <v>1800</v>
      </c>
      <c r="J7" s="10" t="s">
        <v>173</v>
      </c>
      <c r="K7" s="10">
        <v>0</v>
      </c>
      <c r="L7" s="10" t="s">
        <v>173</v>
      </c>
      <c r="M7" s="10" t="s">
        <v>173</v>
      </c>
      <c r="N7" s="10">
        <v>900</v>
      </c>
      <c r="O7" s="10">
        <v>1000</v>
      </c>
      <c r="P7" s="10">
        <v>0</v>
      </c>
      <c r="Q7" s="10" t="s">
        <v>173</v>
      </c>
      <c r="R7" s="10" t="s">
        <v>173</v>
      </c>
      <c r="S7" s="10">
        <v>600</v>
      </c>
      <c r="T7" s="10">
        <v>25300</v>
      </c>
      <c r="U7" s="10">
        <v>1800</v>
      </c>
      <c r="V7" s="10">
        <v>400</v>
      </c>
      <c r="W7" s="10">
        <v>0</v>
      </c>
      <c r="X7" s="10">
        <v>0</v>
      </c>
      <c r="Y7" s="10">
        <v>2200</v>
      </c>
      <c r="Z7" s="10">
        <v>23100</v>
      </c>
    </row>
    <row r="8" spans="1:26" ht="20" customHeight="1" x14ac:dyDescent="0.15">
      <c r="A8" s="10">
        <v>1007</v>
      </c>
      <c r="B8" s="10" t="str">
        <f>_xlfn.XLOOKUP(A8,Employees!A:A,Employees!B:B,"")</f>
        <v>Vikram Singh</v>
      </c>
      <c r="C8" s="10">
        <f>_xlfn.XLOOKUP(A8,Employees!A:A,Employees!C:C,"")</f>
        <v>9876501007</v>
      </c>
      <c r="D8" s="10" t="str">
        <f>_xlfn.XLOOKUP(A8,Employees!A:A,Employees!D:D,"")</f>
        <v>Active</v>
      </c>
      <c r="E8" s="10">
        <v>31</v>
      </c>
      <c r="F8" s="10">
        <v>0</v>
      </c>
      <c r="G8" s="10">
        <v>24000</v>
      </c>
      <c r="H8" s="10">
        <v>9600</v>
      </c>
      <c r="I8" s="10">
        <v>3200</v>
      </c>
      <c r="J8" s="10" t="s">
        <v>173</v>
      </c>
      <c r="K8" s="10">
        <v>0</v>
      </c>
      <c r="L8" s="10" t="s">
        <v>173</v>
      </c>
      <c r="M8" s="10" t="s">
        <v>173</v>
      </c>
      <c r="N8" s="10">
        <v>1500</v>
      </c>
      <c r="O8" s="10">
        <v>1500</v>
      </c>
      <c r="P8" s="10">
        <v>0</v>
      </c>
      <c r="Q8" s="10" t="s">
        <v>173</v>
      </c>
      <c r="R8" s="10" t="s">
        <v>173</v>
      </c>
      <c r="S8" s="10">
        <v>1500</v>
      </c>
      <c r="T8" s="10">
        <v>41300</v>
      </c>
      <c r="U8" s="10">
        <v>1800</v>
      </c>
      <c r="V8" s="10">
        <v>700</v>
      </c>
      <c r="W8" s="10">
        <v>0</v>
      </c>
      <c r="X8" s="10">
        <v>650</v>
      </c>
      <c r="Y8" s="10">
        <v>3150</v>
      </c>
      <c r="Z8" s="10">
        <v>38150</v>
      </c>
    </row>
    <row r="9" spans="1:26" ht="20" customHeight="1" x14ac:dyDescent="0.15">
      <c r="A9" s="10">
        <v>1008</v>
      </c>
      <c r="B9" s="10" t="str">
        <f>_xlfn.XLOOKUP(A9,Employees!A:A,Employees!B:B,"")</f>
        <v>Sneha Pillai</v>
      </c>
      <c r="C9" s="10">
        <f>_xlfn.XLOOKUP(A9,Employees!A:A,Employees!C:C,"")</f>
        <v>9876501008</v>
      </c>
      <c r="D9" s="10" t="str">
        <f>_xlfn.XLOOKUP(A9,Employees!A:A,Employees!D:D,"")</f>
        <v>Active</v>
      </c>
      <c r="E9" s="10">
        <v>30</v>
      </c>
      <c r="F9" s="10">
        <v>0</v>
      </c>
      <c r="G9" s="10">
        <v>20500</v>
      </c>
      <c r="H9" s="10">
        <v>8200</v>
      </c>
      <c r="I9" s="10">
        <v>2700</v>
      </c>
      <c r="J9" s="10" t="s">
        <v>173</v>
      </c>
      <c r="K9" s="10">
        <v>0</v>
      </c>
      <c r="L9" s="10" t="s">
        <v>173</v>
      </c>
      <c r="M9" s="10" t="s">
        <v>173</v>
      </c>
      <c r="N9" s="10">
        <v>1200</v>
      </c>
      <c r="O9" s="10">
        <v>1200</v>
      </c>
      <c r="P9" s="10">
        <v>0</v>
      </c>
      <c r="Q9" s="10" t="s">
        <v>173</v>
      </c>
      <c r="R9" s="10" t="s">
        <v>173</v>
      </c>
      <c r="S9" s="10">
        <v>1000</v>
      </c>
      <c r="T9" s="10">
        <v>34800</v>
      </c>
      <c r="U9" s="10">
        <v>1800</v>
      </c>
      <c r="V9" s="10">
        <v>600</v>
      </c>
      <c r="W9" s="10">
        <v>0</v>
      </c>
      <c r="X9" s="10">
        <v>350</v>
      </c>
      <c r="Y9" s="10">
        <v>2750</v>
      </c>
      <c r="Z9" s="10">
        <v>32050</v>
      </c>
    </row>
    <row r="10" spans="1:26" ht="20" customHeight="1" x14ac:dyDescent="0.15">
      <c r="A10" s="10">
        <v>1009</v>
      </c>
      <c r="B10" s="10" t="str">
        <f>_xlfn.XLOOKUP(A10,Employees!A:A,Employees!B:B,"")</f>
        <v>Aditya Menon</v>
      </c>
      <c r="C10" s="10">
        <f>_xlfn.XLOOKUP(A10,Employees!A:A,Employees!C:C,"")</f>
        <v>9876501009</v>
      </c>
      <c r="D10" s="10" t="str">
        <f>_xlfn.XLOOKUP(A10,Employees!A:A,Employees!D:D,"")</f>
        <v>Active</v>
      </c>
      <c r="E10" s="10">
        <v>30</v>
      </c>
      <c r="F10" s="10">
        <v>0</v>
      </c>
      <c r="G10" s="10">
        <v>17200</v>
      </c>
      <c r="H10" s="10">
        <v>6880</v>
      </c>
      <c r="I10" s="10">
        <v>2100</v>
      </c>
      <c r="J10" s="10" t="s">
        <v>173</v>
      </c>
      <c r="K10" s="10">
        <v>0</v>
      </c>
      <c r="L10" s="10" t="s">
        <v>173</v>
      </c>
      <c r="M10" s="10" t="s">
        <v>173</v>
      </c>
      <c r="N10" s="10">
        <v>1100</v>
      </c>
      <c r="O10" s="10">
        <v>1200</v>
      </c>
      <c r="P10" s="10">
        <v>0</v>
      </c>
      <c r="Q10" s="10" t="s">
        <v>173</v>
      </c>
      <c r="R10" s="10" t="s">
        <v>173</v>
      </c>
      <c r="S10" s="10">
        <v>700</v>
      </c>
      <c r="T10" s="10">
        <v>29180</v>
      </c>
      <c r="U10" s="10">
        <v>1800</v>
      </c>
      <c r="V10" s="10">
        <v>500</v>
      </c>
      <c r="W10" s="10">
        <v>0</v>
      </c>
      <c r="X10" s="10">
        <v>0</v>
      </c>
      <c r="Y10" s="10">
        <v>2300</v>
      </c>
      <c r="Z10" s="10">
        <v>26880</v>
      </c>
    </row>
    <row r="11" spans="1:26" ht="20" customHeight="1" x14ac:dyDescent="0.15">
      <c r="A11" s="11">
        <v>1010</v>
      </c>
      <c r="B11" s="10" t="str">
        <f>_xlfn.XLOOKUP(A11,Employees!A:A,Employees!B:B,"")</f>
        <v>Priya Kulkarni</v>
      </c>
      <c r="C11" s="10">
        <f>_xlfn.XLOOKUP(A11,Employees!A:A,Employees!C:C,"")</f>
        <v>9876501010</v>
      </c>
      <c r="D11" s="10" t="str">
        <f>_xlfn.XLOOKUP(A11,Employees!A:A,Employees!D:D,"")</f>
        <v>Active</v>
      </c>
      <c r="E11" s="11">
        <v>31</v>
      </c>
      <c r="F11" s="11">
        <v>0</v>
      </c>
      <c r="G11" s="11">
        <v>18800</v>
      </c>
      <c r="H11" s="11">
        <v>7520</v>
      </c>
      <c r="I11" s="11">
        <v>2400</v>
      </c>
      <c r="J11" s="11" t="s">
        <v>173</v>
      </c>
      <c r="K11" s="11">
        <v>0</v>
      </c>
      <c r="L11" s="11" t="s">
        <v>173</v>
      </c>
      <c r="M11" s="11" t="s">
        <v>173</v>
      </c>
      <c r="N11" s="11">
        <v>1150</v>
      </c>
      <c r="O11" s="11">
        <v>1200</v>
      </c>
      <c r="P11" s="11">
        <v>0</v>
      </c>
      <c r="Q11" s="11" t="s">
        <v>173</v>
      </c>
      <c r="R11" s="11" t="s">
        <v>173</v>
      </c>
      <c r="S11" s="11">
        <v>850</v>
      </c>
      <c r="T11" s="11">
        <v>31920</v>
      </c>
      <c r="U11" s="11">
        <v>1800</v>
      </c>
      <c r="V11" s="11">
        <v>550</v>
      </c>
      <c r="W11" s="11">
        <v>800</v>
      </c>
      <c r="X11" s="11">
        <v>150</v>
      </c>
      <c r="Y11" s="11">
        <v>3300</v>
      </c>
      <c r="Z11" s="11">
        <v>28620</v>
      </c>
    </row>
    <row r="12" spans="1:26" ht="20" customHeight="1" x14ac:dyDescent="0.15">
      <c r="A12" s="11">
        <v>1011</v>
      </c>
      <c r="B12" s="10" t="str">
        <f>_xlfn.XLOOKUP(A12,Employees!A:A,Employees!B:B,"")</f>
        <v>Manoj Kumar</v>
      </c>
      <c r="C12" s="10">
        <f>_xlfn.XLOOKUP(A12,Employees!A:A,Employees!C:C,"")</f>
        <v>9876501011</v>
      </c>
      <c r="D12" s="10" t="str">
        <f>_xlfn.XLOOKUP(A12,Employees!A:A,Employees!D:D,"")</f>
        <v>Active</v>
      </c>
      <c r="E12" s="11">
        <v>30</v>
      </c>
      <c r="F12" s="11">
        <v>18</v>
      </c>
      <c r="G12" s="11">
        <v>17500</v>
      </c>
      <c r="H12" s="11">
        <v>0</v>
      </c>
      <c r="I12" s="11" t="s">
        <v>173</v>
      </c>
      <c r="J12" s="11">
        <v>900</v>
      </c>
      <c r="K12" s="11">
        <v>1800</v>
      </c>
      <c r="L12" s="11">
        <v>700</v>
      </c>
      <c r="M12" s="11">
        <v>500</v>
      </c>
      <c r="N12" s="11" t="s">
        <v>173</v>
      </c>
      <c r="O12" s="11">
        <v>0</v>
      </c>
      <c r="P12" s="11">
        <v>0</v>
      </c>
      <c r="Q12" s="11">
        <v>300</v>
      </c>
      <c r="R12" s="11">
        <v>150</v>
      </c>
      <c r="S12" s="11">
        <v>0</v>
      </c>
      <c r="T12" s="11">
        <v>21850</v>
      </c>
      <c r="U12" s="11">
        <v>1600</v>
      </c>
      <c r="V12" s="11">
        <v>450</v>
      </c>
      <c r="W12" s="11">
        <v>1000</v>
      </c>
      <c r="X12" s="11">
        <v>0</v>
      </c>
      <c r="Y12" s="11">
        <v>3050</v>
      </c>
      <c r="Z12" s="11">
        <v>18800</v>
      </c>
    </row>
    <row r="13" spans="1:26" ht="20" customHeight="1" x14ac:dyDescent="0.15">
      <c r="A13" s="11">
        <v>1012</v>
      </c>
      <c r="B13" s="10" t="str">
        <f>_xlfn.XLOOKUP(A13,Employees!A:A,Employees!B:B,"")</f>
        <v>Nisha Thomas</v>
      </c>
      <c r="C13" s="10">
        <f>_xlfn.XLOOKUP(A13,Employees!A:A,Employees!C:C,"")</f>
        <v>9876501012</v>
      </c>
      <c r="D13" s="10" t="str">
        <f>_xlfn.XLOOKUP(A13,Employees!A:A,Employees!D:D,"")</f>
        <v>Active</v>
      </c>
      <c r="E13" s="11">
        <v>28</v>
      </c>
      <c r="F13" s="11">
        <v>12</v>
      </c>
      <c r="G13" s="11">
        <v>14800</v>
      </c>
      <c r="H13" s="11">
        <v>0</v>
      </c>
      <c r="I13" s="11" t="s">
        <v>173</v>
      </c>
      <c r="J13" s="11">
        <v>750</v>
      </c>
      <c r="K13" s="11">
        <v>1200</v>
      </c>
      <c r="L13" s="11">
        <v>600</v>
      </c>
      <c r="M13" s="11">
        <v>450</v>
      </c>
      <c r="N13" s="11" t="s">
        <v>173</v>
      </c>
      <c r="O13" s="11">
        <v>0</v>
      </c>
      <c r="P13" s="11">
        <v>0</v>
      </c>
      <c r="Q13" s="11">
        <v>250</v>
      </c>
      <c r="R13" s="11">
        <v>150</v>
      </c>
      <c r="S13" s="11">
        <v>0</v>
      </c>
      <c r="T13" s="11">
        <v>18200</v>
      </c>
      <c r="U13" s="11">
        <v>1400</v>
      </c>
      <c r="V13" s="11">
        <v>400</v>
      </c>
      <c r="W13" s="11">
        <v>0</v>
      </c>
      <c r="X13" s="11">
        <v>0</v>
      </c>
      <c r="Y13" s="11">
        <v>1800</v>
      </c>
      <c r="Z13" s="11">
        <v>16400</v>
      </c>
    </row>
    <row r="14" spans="1:26" ht="20" customHeight="1" x14ac:dyDescent="0.15">
      <c r="A14" s="11">
        <v>1013</v>
      </c>
      <c r="B14" s="10" t="str">
        <f>_xlfn.XLOOKUP(A14,Employees!A:A,Employees!B:B,"")</f>
        <v>Arjun Patel</v>
      </c>
      <c r="C14" s="10">
        <f>_xlfn.XLOOKUP(A14,Employees!A:A,Employees!C:C,"")</f>
        <v>9876501013</v>
      </c>
      <c r="D14" s="10" t="str">
        <f>_xlfn.XLOOKUP(A14,Employees!A:A,Employees!D:D,"")</f>
        <v>Active</v>
      </c>
      <c r="E14" s="11">
        <v>30</v>
      </c>
      <c r="F14" s="11">
        <v>20</v>
      </c>
      <c r="G14" s="11">
        <v>19000</v>
      </c>
      <c r="H14" s="11">
        <v>0</v>
      </c>
      <c r="I14" s="11" t="s">
        <v>173</v>
      </c>
      <c r="J14" s="11">
        <v>1000</v>
      </c>
      <c r="K14" s="11">
        <v>2200</v>
      </c>
      <c r="L14" s="11">
        <v>800</v>
      </c>
      <c r="M14" s="11">
        <v>550</v>
      </c>
      <c r="N14" s="11" t="s">
        <v>173</v>
      </c>
      <c r="O14" s="11">
        <v>0</v>
      </c>
      <c r="P14" s="11">
        <v>0</v>
      </c>
      <c r="Q14" s="11">
        <v>300</v>
      </c>
      <c r="R14" s="11">
        <v>150</v>
      </c>
      <c r="S14" s="11">
        <v>900</v>
      </c>
      <c r="T14" s="11">
        <v>24900</v>
      </c>
      <c r="U14" s="11">
        <v>1800</v>
      </c>
      <c r="V14" s="11">
        <v>500</v>
      </c>
      <c r="W14" s="11">
        <v>0</v>
      </c>
      <c r="X14" s="11">
        <v>250</v>
      </c>
      <c r="Y14" s="11">
        <v>2550</v>
      </c>
      <c r="Z14" s="11">
        <v>22350</v>
      </c>
    </row>
    <row r="15" spans="1:26" ht="20" customHeight="1" x14ac:dyDescent="0.15">
      <c r="A15" s="11">
        <v>1014</v>
      </c>
      <c r="B15" s="10" t="str">
        <f>_xlfn.XLOOKUP(A15,Employees!A:A,Employees!B:B,"")</f>
        <v>Kavya Reddy</v>
      </c>
      <c r="C15" s="10">
        <f>_xlfn.XLOOKUP(A15,Employees!A:A,Employees!C:C,"")</f>
        <v>9876501014</v>
      </c>
      <c r="D15" s="10" t="str">
        <f>_xlfn.XLOOKUP(A15,Employees!A:A,Employees!D:D,"")</f>
        <v>Active</v>
      </c>
      <c r="E15" s="11">
        <v>29</v>
      </c>
      <c r="F15" s="11">
        <v>14</v>
      </c>
      <c r="G15" s="11">
        <v>18200</v>
      </c>
      <c r="H15" s="11">
        <v>0</v>
      </c>
      <c r="I15" s="11" t="s">
        <v>173</v>
      </c>
      <c r="J15" s="11">
        <v>950</v>
      </c>
      <c r="K15" s="11">
        <v>1600</v>
      </c>
      <c r="L15" s="11">
        <v>750</v>
      </c>
      <c r="M15" s="11">
        <v>500</v>
      </c>
      <c r="N15" s="11" t="s">
        <v>173</v>
      </c>
      <c r="O15" s="11">
        <v>0</v>
      </c>
      <c r="P15" s="11">
        <v>0</v>
      </c>
      <c r="Q15" s="11">
        <v>300</v>
      </c>
      <c r="R15" s="11">
        <v>150</v>
      </c>
      <c r="S15" s="11">
        <v>600</v>
      </c>
      <c r="T15" s="11">
        <v>23050</v>
      </c>
      <c r="U15" s="11">
        <v>1800</v>
      </c>
      <c r="V15" s="11">
        <v>450</v>
      </c>
      <c r="W15" s="11">
        <v>0</v>
      </c>
      <c r="X15" s="11">
        <v>200</v>
      </c>
      <c r="Y15" s="11">
        <v>2450</v>
      </c>
      <c r="Z15" s="11">
        <v>20600</v>
      </c>
    </row>
    <row r="16" spans="1:26" ht="20" customHeight="1" x14ac:dyDescent="0.15">
      <c r="A16" s="11">
        <v>1015</v>
      </c>
      <c r="B16" s="10" t="str">
        <f>_xlfn.XLOOKUP(A16,Employees!A:A,Employees!B:B,"")</f>
        <v>Harish Babu</v>
      </c>
      <c r="C16" s="10">
        <f>_xlfn.XLOOKUP(A16,Employees!A:A,Employees!C:C,"")</f>
        <v>9876501015</v>
      </c>
      <c r="D16" s="10" t="str">
        <f>_xlfn.XLOOKUP(A16,Employees!A:A,Employees!D:D,"")</f>
        <v>Active</v>
      </c>
      <c r="E16" s="11">
        <v>27</v>
      </c>
      <c r="F16" s="11">
        <v>10</v>
      </c>
      <c r="G16" s="11">
        <v>13200</v>
      </c>
      <c r="H16" s="11">
        <v>0</v>
      </c>
      <c r="I16" s="11" t="s">
        <v>173</v>
      </c>
      <c r="J16" s="11">
        <v>700</v>
      </c>
      <c r="K16" s="11">
        <v>900</v>
      </c>
      <c r="L16" s="11">
        <v>550</v>
      </c>
      <c r="M16" s="11">
        <v>400</v>
      </c>
      <c r="N16" s="11" t="s">
        <v>173</v>
      </c>
      <c r="O16" s="11">
        <v>0</v>
      </c>
      <c r="P16" s="11">
        <v>0</v>
      </c>
      <c r="Q16" s="11">
        <v>250</v>
      </c>
      <c r="R16" s="11">
        <v>100</v>
      </c>
      <c r="S16" s="11">
        <v>0</v>
      </c>
      <c r="T16" s="11">
        <v>16100</v>
      </c>
      <c r="U16" s="11">
        <v>1200</v>
      </c>
      <c r="V16" s="11">
        <v>350</v>
      </c>
      <c r="W16" s="11">
        <v>500</v>
      </c>
      <c r="X16" s="11">
        <v>0</v>
      </c>
      <c r="Y16" s="11">
        <v>2050</v>
      </c>
      <c r="Z16" s="11">
        <v>14050</v>
      </c>
    </row>
    <row r="17" spans="1:26" ht="20" customHeight="1" x14ac:dyDescent="0.15">
      <c r="A17" s="11">
        <v>1016</v>
      </c>
      <c r="B17" s="10" t="str">
        <f>_xlfn.XLOOKUP(A17,Employees!A:A,Employees!B:B,"")</f>
        <v>Pooja Joshi</v>
      </c>
      <c r="C17" s="10">
        <f>_xlfn.XLOOKUP(A17,Employees!A:A,Employees!C:C,"")</f>
        <v>9876501016</v>
      </c>
      <c r="D17" s="10" t="str">
        <f>_xlfn.XLOOKUP(A17,Employees!A:A,Employees!D:D,"")</f>
        <v>Active</v>
      </c>
      <c r="E17" s="11">
        <v>30</v>
      </c>
      <c r="F17" s="11">
        <v>16</v>
      </c>
      <c r="G17" s="11">
        <v>16800</v>
      </c>
      <c r="H17" s="11">
        <v>0</v>
      </c>
      <c r="I17" s="11" t="s">
        <v>173</v>
      </c>
      <c r="J17" s="11">
        <v>850</v>
      </c>
      <c r="K17" s="11">
        <v>1750</v>
      </c>
      <c r="L17" s="11">
        <v>650</v>
      </c>
      <c r="M17" s="11">
        <v>450</v>
      </c>
      <c r="N17" s="11" t="s">
        <v>173</v>
      </c>
      <c r="O17" s="11">
        <v>0</v>
      </c>
      <c r="P17" s="11">
        <v>0</v>
      </c>
      <c r="Q17" s="11">
        <v>300</v>
      </c>
      <c r="R17" s="11">
        <v>150</v>
      </c>
      <c r="S17" s="11">
        <v>500</v>
      </c>
      <c r="T17" s="11">
        <v>21450</v>
      </c>
      <c r="U17" s="11">
        <v>1600</v>
      </c>
      <c r="V17" s="11">
        <v>450</v>
      </c>
      <c r="W17" s="11">
        <v>0</v>
      </c>
      <c r="X17" s="11">
        <v>100</v>
      </c>
      <c r="Y17" s="11">
        <v>2150</v>
      </c>
      <c r="Z17" s="11">
        <v>19300</v>
      </c>
    </row>
    <row r="18" spans="1:26" ht="20" customHeight="1" x14ac:dyDescent="0.15">
      <c r="A18" s="11">
        <v>1017</v>
      </c>
      <c r="B18" s="10" t="str">
        <f>_xlfn.XLOOKUP(A18,Employees!A:A,Employees!B:B,"")</f>
        <v>Sanjay Roy</v>
      </c>
      <c r="C18" s="10">
        <f>_xlfn.XLOOKUP(A18,Employees!A:A,Employees!C:C,"")</f>
        <v>9876501017</v>
      </c>
      <c r="D18" s="10" t="str">
        <f>_xlfn.XLOOKUP(A18,Employees!A:A,Employees!D:D,"")</f>
        <v>Active</v>
      </c>
      <c r="E18" s="11">
        <v>31</v>
      </c>
      <c r="F18" s="11">
        <v>24</v>
      </c>
      <c r="G18" s="11">
        <v>18400</v>
      </c>
      <c r="H18" s="11">
        <v>0</v>
      </c>
      <c r="I18" s="11" t="s">
        <v>173</v>
      </c>
      <c r="J18" s="11">
        <v>1000</v>
      </c>
      <c r="K18" s="11">
        <v>2600</v>
      </c>
      <c r="L18" s="11">
        <v>900</v>
      </c>
      <c r="M18" s="11">
        <v>600</v>
      </c>
      <c r="N18" s="11" t="s">
        <v>173</v>
      </c>
      <c r="O18" s="11">
        <v>0</v>
      </c>
      <c r="P18" s="11">
        <v>0</v>
      </c>
      <c r="Q18" s="11">
        <v>300</v>
      </c>
      <c r="R18" s="11">
        <v>150</v>
      </c>
      <c r="S18" s="11">
        <v>1200</v>
      </c>
      <c r="T18" s="11">
        <v>25150</v>
      </c>
      <c r="U18" s="11">
        <v>1800</v>
      </c>
      <c r="V18" s="11">
        <v>500</v>
      </c>
      <c r="W18" s="11">
        <v>0</v>
      </c>
      <c r="X18" s="11">
        <v>300</v>
      </c>
      <c r="Y18" s="11">
        <v>2600</v>
      </c>
      <c r="Z18" s="11">
        <v>22550</v>
      </c>
    </row>
    <row r="19" spans="1:26" ht="20" customHeight="1" x14ac:dyDescent="0.15">
      <c r="A19" s="11">
        <v>1018</v>
      </c>
      <c r="B19" s="10" t="str">
        <f>_xlfn.XLOOKUP(A19,Employees!A:A,Employees!B:B,"")</f>
        <v>Neha Gupta</v>
      </c>
      <c r="C19" s="10">
        <f>_xlfn.XLOOKUP(A19,Employees!A:A,Employees!C:C,"")</f>
        <v>9876501018</v>
      </c>
      <c r="D19" s="10" t="str">
        <f>_xlfn.XLOOKUP(A19,Employees!A:A,Employees!D:D,"")</f>
        <v>Active</v>
      </c>
      <c r="E19" s="11">
        <v>28</v>
      </c>
      <c r="F19" s="11">
        <v>8</v>
      </c>
      <c r="G19" s="11">
        <v>14200</v>
      </c>
      <c r="H19" s="11">
        <v>0</v>
      </c>
      <c r="I19" s="11" t="s">
        <v>173</v>
      </c>
      <c r="J19" s="11">
        <v>700</v>
      </c>
      <c r="K19" s="11">
        <v>800</v>
      </c>
      <c r="L19" s="11">
        <v>500</v>
      </c>
      <c r="M19" s="11">
        <v>350</v>
      </c>
      <c r="N19" s="11" t="s">
        <v>173</v>
      </c>
      <c r="O19" s="11">
        <v>0</v>
      </c>
      <c r="P19" s="11">
        <v>0</v>
      </c>
      <c r="Q19" s="11">
        <v>250</v>
      </c>
      <c r="R19" s="11">
        <v>100</v>
      </c>
      <c r="S19" s="11">
        <v>0</v>
      </c>
      <c r="T19" s="11">
        <v>16900</v>
      </c>
      <c r="U19" s="11">
        <v>1400</v>
      </c>
      <c r="V19" s="11">
        <v>400</v>
      </c>
      <c r="W19" s="11">
        <v>0</v>
      </c>
      <c r="X19" s="11">
        <v>0</v>
      </c>
      <c r="Y19" s="11">
        <v>1800</v>
      </c>
      <c r="Z19" s="11">
        <v>15100</v>
      </c>
    </row>
    <row r="20" spans="1:26" ht="20" customHeight="1" x14ac:dyDescent="0.15">
      <c r="A20" s="11">
        <v>1019</v>
      </c>
      <c r="B20" s="10" t="str">
        <f>_xlfn.XLOOKUP(A20,Employees!A:A,Employees!B:B,"")</f>
        <v>Ritesh Yadav</v>
      </c>
      <c r="C20" s="10">
        <f>_xlfn.XLOOKUP(A20,Employees!A:A,Employees!C:C,"")</f>
        <v>9876501019</v>
      </c>
      <c r="D20" s="10" t="str">
        <f>_xlfn.XLOOKUP(A20,Employees!A:A,Employees!D:D,"")</f>
        <v>Active</v>
      </c>
      <c r="E20" s="11">
        <v>29</v>
      </c>
      <c r="F20" s="11">
        <v>15</v>
      </c>
      <c r="G20" s="11">
        <v>17600</v>
      </c>
      <c r="H20" s="11">
        <v>0</v>
      </c>
      <c r="I20" s="11" t="s">
        <v>173</v>
      </c>
      <c r="J20" s="11">
        <v>900</v>
      </c>
      <c r="K20" s="11">
        <v>1650</v>
      </c>
      <c r="L20" s="11">
        <v>700</v>
      </c>
      <c r="M20" s="11">
        <v>500</v>
      </c>
      <c r="N20" s="11" t="s">
        <v>173</v>
      </c>
      <c r="O20" s="11">
        <v>0</v>
      </c>
      <c r="P20" s="11">
        <v>0</v>
      </c>
      <c r="Q20" s="11">
        <v>300</v>
      </c>
      <c r="R20" s="11">
        <v>150</v>
      </c>
      <c r="S20" s="11">
        <v>700</v>
      </c>
      <c r="T20" s="11">
        <v>22500</v>
      </c>
      <c r="U20" s="11">
        <v>1600</v>
      </c>
      <c r="V20" s="11">
        <v>450</v>
      </c>
      <c r="W20" s="11">
        <v>750</v>
      </c>
      <c r="X20" s="11">
        <v>0</v>
      </c>
      <c r="Y20" s="11">
        <v>2800</v>
      </c>
      <c r="Z20" s="11">
        <v>19700</v>
      </c>
    </row>
    <row r="21" spans="1:26" ht="20" customHeight="1" x14ac:dyDescent="0.15">
      <c r="A21" s="11">
        <v>1020</v>
      </c>
      <c r="B21" s="10" t="str">
        <f>_xlfn.XLOOKUP(A21,Employees!A:A,Employees!B:B,"")</f>
        <v>Aishwarya Sen</v>
      </c>
      <c r="C21" s="10">
        <f>_xlfn.XLOOKUP(A21,Employees!A:A,Employees!C:C,"")</f>
        <v>9876501020</v>
      </c>
      <c r="D21" s="10" t="str">
        <f>_xlfn.XLOOKUP(A21,Employees!A:A,Employees!D:D,"")</f>
        <v>Active</v>
      </c>
      <c r="E21" s="11">
        <v>30</v>
      </c>
      <c r="F21" s="11">
        <v>18</v>
      </c>
      <c r="G21" s="11">
        <v>18600</v>
      </c>
      <c r="H21" s="11">
        <v>0</v>
      </c>
      <c r="I21" s="11" t="s">
        <v>173</v>
      </c>
      <c r="J21" s="11">
        <v>950</v>
      </c>
      <c r="K21" s="11">
        <v>2100</v>
      </c>
      <c r="L21" s="11">
        <v>800</v>
      </c>
      <c r="M21" s="11">
        <v>550</v>
      </c>
      <c r="N21" s="11" t="s">
        <v>173</v>
      </c>
      <c r="O21" s="11">
        <v>0</v>
      </c>
      <c r="P21" s="11">
        <v>0</v>
      </c>
      <c r="Q21" s="11">
        <v>300</v>
      </c>
      <c r="R21" s="11">
        <v>150</v>
      </c>
      <c r="S21" s="11">
        <v>800</v>
      </c>
      <c r="T21" s="11">
        <v>24250</v>
      </c>
      <c r="U21" s="11">
        <v>1800</v>
      </c>
      <c r="V21" s="11">
        <v>500</v>
      </c>
      <c r="W21" s="11">
        <v>0</v>
      </c>
      <c r="X21" s="11">
        <v>220</v>
      </c>
      <c r="Y21" s="11">
        <v>2520</v>
      </c>
      <c r="Z21" s="11">
        <v>21730</v>
      </c>
    </row>
    <row r="22" spans="1:26" ht="20" customHeight="1" x14ac:dyDescent="0.15">
      <c r="A22" s="11">
        <v>1021</v>
      </c>
      <c r="B22" s="10" t="str">
        <f>_xlfn.XLOOKUP(A22,Employees!A:A,Employees!B:B,"")</f>
        <v>Deepak Chandra</v>
      </c>
      <c r="C22" s="10">
        <f>_xlfn.XLOOKUP(A22,Employees!A:A,Employees!C:C,"")</f>
        <v>9876501021</v>
      </c>
      <c r="D22" s="10" t="str">
        <f>_xlfn.XLOOKUP(A22,Employees!A:A,Employees!D:D,"")</f>
        <v>Active</v>
      </c>
      <c r="E22" s="11">
        <v>24</v>
      </c>
      <c r="F22" s="11">
        <v>0</v>
      </c>
      <c r="G22" s="11">
        <v>11800</v>
      </c>
      <c r="H22" s="11" t="s">
        <v>173</v>
      </c>
      <c r="I22" s="11">
        <v>0</v>
      </c>
      <c r="J22" s="11">
        <v>0</v>
      </c>
      <c r="K22" s="11">
        <v>0</v>
      </c>
      <c r="L22" s="11" t="s">
        <v>173</v>
      </c>
      <c r="M22" s="11">
        <v>0</v>
      </c>
      <c r="N22" s="11">
        <v>500</v>
      </c>
      <c r="O22" s="11">
        <v>0</v>
      </c>
      <c r="P22" s="11" t="s">
        <v>173</v>
      </c>
      <c r="Q22" s="11">
        <v>0</v>
      </c>
      <c r="R22" s="11">
        <v>100</v>
      </c>
      <c r="S22" s="11" t="s">
        <v>173</v>
      </c>
      <c r="T22" s="11">
        <v>12400</v>
      </c>
      <c r="U22" s="11">
        <v>900</v>
      </c>
      <c r="V22" s="11">
        <v>300</v>
      </c>
      <c r="W22" s="11">
        <v>0</v>
      </c>
      <c r="X22" s="11">
        <v>0</v>
      </c>
      <c r="Y22" s="11">
        <v>1200</v>
      </c>
      <c r="Z22" s="11">
        <v>11200</v>
      </c>
    </row>
    <row r="23" spans="1:26" ht="20" customHeight="1" x14ac:dyDescent="0.15">
      <c r="A23" s="11">
        <v>1022</v>
      </c>
      <c r="B23" s="10" t="str">
        <f>_xlfn.XLOOKUP(A23,Employees!A:A,Employees!B:B,"")</f>
        <v>Shreya Banerjee</v>
      </c>
      <c r="C23" s="10">
        <f>_xlfn.XLOOKUP(A23,Employees!A:A,Employees!C:C,"")</f>
        <v>9876501022</v>
      </c>
      <c r="D23" s="10" t="str">
        <f>_xlfn.XLOOKUP(A23,Employees!A:A,Employees!D:D,"")</f>
        <v>Active</v>
      </c>
      <c r="E23" s="11">
        <v>25</v>
      </c>
      <c r="F23" s="11">
        <v>4</v>
      </c>
      <c r="G23" s="11">
        <v>12600</v>
      </c>
      <c r="H23" s="11" t="s">
        <v>173</v>
      </c>
      <c r="I23" s="11">
        <v>0</v>
      </c>
      <c r="J23" s="11">
        <v>0</v>
      </c>
      <c r="K23" s="11">
        <v>400</v>
      </c>
      <c r="L23" s="11" t="s">
        <v>173</v>
      </c>
      <c r="M23" s="11">
        <v>0</v>
      </c>
      <c r="N23" s="11">
        <v>500</v>
      </c>
      <c r="O23" s="11">
        <v>0</v>
      </c>
      <c r="P23" s="11" t="s">
        <v>173</v>
      </c>
      <c r="Q23" s="11">
        <v>0</v>
      </c>
      <c r="R23" s="11">
        <v>100</v>
      </c>
      <c r="S23" s="11" t="s">
        <v>173</v>
      </c>
      <c r="T23" s="11">
        <v>13600</v>
      </c>
      <c r="U23" s="11">
        <v>950</v>
      </c>
      <c r="V23" s="11">
        <v>300</v>
      </c>
      <c r="W23" s="11">
        <v>0</v>
      </c>
      <c r="X23" s="11">
        <v>0</v>
      </c>
      <c r="Y23" s="11">
        <v>1250</v>
      </c>
      <c r="Z23" s="11">
        <v>12350</v>
      </c>
    </row>
    <row r="24" spans="1:26" ht="20" customHeight="1" x14ac:dyDescent="0.15">
      <c r="A24" s="11">
        <v>1023</v>
      </c>
      <c r="B24" s="10" t="str">
        <f>_xlfn.XLOOKUP(A24,Employees!A:A,Employees!B:B,"")</f>
        <v>Akash Mishra</v>
      </c>
      <c r="C24" s="10">
        <f>_xlfn.XLOOKUP(A24,Employees!A:A,Employees!C:C,"")</f>
        <v>9876501023</v>
      </c>
      <c r="D24" s="10" t="str">
        <f>_xlfn.XLOOKUP(A24,Employees!A:A,Employees!D:D,"")</f>
        <v>Active</v>
      </c>
      <c r="E24" s="11">
        <v>23</v>
      </c>
      <c r="F24" s="11">
        <v>0</v>
      </c>
      <c r="G24" s="11">
        <v>13200</v>
      </c>
      <c r="H24" s="11">
        <v>0</v>
      </c>
      <c r="I24" s="11">
        <v>0</v>
      </c>
      <c r="J24" s="11">
        <v>0</v>
      </c>
      <c r="K24" s="11">
        <v>0</v>
      </c>
      <c r="L24" s="11" t="s">
        <v>173</v>
      </c>
      <c r="M24" s="11">
        <v>0</v>
      </c>
      <c r="N24" s="11">
        <v>500</v>
      </c>
      <c r="O24" s="11">
        <v>0</v>
      </c>
      <c r="P24" s="11" t="s">
        <v>173</v>
      </c>
      <c r="Q24" s="11">
        <v>0</v>
      </c>
      <c r="R24" s="11">
        <v>100</v>
      </c>
      <c r="S24" s="11">
        <v>0</v>
      </c>
      <c r="T24" s="11">
        <v>13800</v>
      </c>
      <c r="U24" s="11">
        <v>1000</v>
      </c>
      <c r="V24" s="11">
        <v>300</v>
      </c>
      <c r="W24" s="11">
        <v>500</v>
      </c>
      <c r="X24" s="11">
        <v>0</v>
      </c>
      <c r="Y24" s="11">
        <v>1800</v>
      </c>
      <c r="Z24" s="11">
        <v>12000</v>
      </c>
    </row>
    <row r="25" spans="1:26" ht="20" customHeight="1" x14ac:dyDescent="0.15">
      <c r="A25" s="11">
        <v>1024</v>
      </c>
      <c r="B25" s="10" t="str">
        <f>_xlfn.XLOOKUP(A25,Employees!A:A,Employees!B:B,"")</f>
        <v>Divya Kapoor</v>
      </c>
      <c r="C25" s="10">
        <f>_xlfn.XLOOKUP(A25,Employees!A:A,Employees!C:C,"")</f>
        <v>9876501024</v>
      </c>
      <c r="D25" s="10" t="str">
        <f>_xlfn.XLOOKUP(A25,Employees!A:A,Employees!D:D,"")</f>
        <v>Active</v>
      </c>
      <c r="E25" s="11">
        <v>26</v>
      </c>
      <c r="F25" s="11">
        <v>0</v>
      </c>
      <c r="G25" s="11">
        <v>14000</v>
      </c>
      <c r="H25" s="11" t="s">
        <v>173</v>
      </c>
      <c r="I25" s="11">
        <v>0</v>
      </c>
      <c r="J25" s="11">
        <v>0</v>
      </c>
      <c r="K25" s="11">
        <v>0</v>
      </c>
      <c r="L25" s="11" t="s">
        <v>173</v>
      </c>
      <c r="M25" s="11">
        <v>0</v>
      </c>
      <c r="N25" s="11">
        <v>600</v>
      </c>
      <c r="O25" s="11">
        <v>0</v>
      </c>
      <c r="P25" s="11" t="s">
        <v>173</v>
      </c>
      <c r="Q25" s="11">
        <v>0</v>
      </c>
      <c r="R25" s="11">
        <v>100</v>
      </c>
      <c r="S25" s="11" t="s">
        <v>173</v>
      </c>
      <c r="T25" s="11">
        <v>14700</v>
      </c>
      <c r="U25" s="11">
        <v>1100</v>
      </c>
      <c r="V25" s="11">
        <v>300</v>
      </c>
      <c r="W25" s="11">
        <v>0</v>
      </c>
      <c r="X25" s="11">
        <v>0</v>
      </c>
      <c r="Y25" s="11">
        <v>1400</v>
      </c>
      <c r="Z25" s="11">
        <v>13300</v>
      </c>
    </row>
    <row r="26" spans="1:26" ht="20" customHeight="1" x14ac:dyDescent="0.15">
      <c r="A26" s="11">
        <v>1025</v>
      </c>
      <c r="B26" s="10" t="str">
        <f>_xlfn.XLOOKUP(A26,Employees!A:A,Employees!B:B,"")</f>
        <v>Gaurav Jain</v>
      </c>
      <c r="C26" s="10">
        <f>_xlfn.XLOOKUP(A26,Employees!A:A,Employees!C:C,"")</f>
        <v>9876501025</v>
      </c>
      <c r="D26" s="10" t="str">
        <f>_xlfn.XLOOKUP(A26,Employees!A:A,Employees!D:D,"")</f>
        <v>Active</v>
      </c>
      <c r="E26" s="11">
        <v>24</v>
      </c>
      <c r="F26" s="11">
        <v>6</v>
      </c>
      <c r="G26" s="11">
        <v>13800</v>
      </c>
      <c r="H26" s="11">
        <v>0</v>
      </c>
      <c r="I26" s="11">
        <v>0</v>
      </c>
      <c r="J26" s="11">
        <v>0</v>
      </c>
      <c r="K26" s="11">
        <v>600</v>
      </c>
      <c r="L26" s="11" t="s">
        <v>173</v>
      </c>
      <c r="M26" s="11">
        <v>0</v>
      </c>
      <c r="N26" s="11">
        <v>600</v>
      </c>
      <c r="O26" s="11">
        <v>0</v>
      </c>
      <c r="P26" s="11" t="s">
        <v>173</v>
      </c>
      <c r="Q26" s="11">
        <v>0</v>
      </c>
      <c r="R26" s="11">
        <v>100</v>
      </c>
      <c r="S26" s="11">
        <v>0</v>
      </c>
      <c r="T26" s="11">
        <v>15100</v>
      </c>
      <c r="U26" s="11">
        <v>1050</v>
      </c>
      <c r="V26" s="11">
        <v>300</v>
      </c>
      <c r="W26" s="11">
        <v>0</v>
      </c>
      <c r="X26" s="11">
        <v>0</v>
      </c>
      <c r="Y26" s="11">
        <v>1350</v>
      </c>
      <c r="Z26" s="11">
        <v>13750</v>
      </c>
    </row>
    <row r="27" spans="1:26" ht="20" customHeight="1" x14ac:dyDescent="0.15">
      <c r="A27" s="11">
        <v>1026</v>
      </c>
      <c r="B27" s="10" t="str">
        <f>_xlfn.XLOOKUP(A27,Employees!A:A,Employees!B:B,"")</f>
        <v>Ishita Paul</v>
      </c>
      <c r="C27" s="10">
        <f>_xlfn.XLOOKUP(A27,Employees!A:A,Employees!C:C,"")</f>
        <v>9876501026</v>
      </c>
      <c r="D27" s="10" t="str">
        <f>_xlfn.XLOOKUP(A27,Employees!A:A,Employees!D:D,"")</f>
        <v>Active</v>
      </c>
      <c r="E27" s="11">
        <v>22</v>
      </c>
      <c r="F27" s="11">
        <v>0</v>
      </c>
      <c r="G27" s="11">
        <v>12000</v>
      </c>
      <c r="H27" s="11" t="s">
        <v>173</v>
      </c>
      <c r="I27" s="11">
        <v>0</v>
      </c>
      <c r="J27" s="11">
        <v>0</v>
      </c>
      <c r="K27" s="11">
        <v>0</v>
      </c>
      <c r="L27" s="11" t="s">
        <v>173</v>
      </c>
      <c r="M27" s="11">
        <v>0</v>
      </c>
      <c r="N27" s="11">
        <v>500</v>
      </c>
      <c r="O27" s="11">
        <v>0</v>
      </c>
      <c r="P27" s="11" t="s">
        <v>173</v>
      </c>
      <c r="Q27" s="11">
        <v>0</v>
      </c>
      <c r="R27" s="11">
        <v>100</v>
      </c>
      <c r="S27" s="11" t="s">
        <v>173</v>
      </c>
      <c r="T27" s="11">
        <v>12600</v>
      </c>
      <c r="U27" s="11">
        <v>900</v>
      </c>
      <c r="V27" s="11">
        <v>300</v>
      </c>
      <c r="W27" s="11">
        <v>300</v>
      </c>
      <c r="X27" s="11">
        <v>0</v>
      </c>
      <c r="Y27" s="11">
        <v>1500</v>
      </c>
      <c r="Z27" s="11">
        <v>11100</v>
      </c>
    </row>
    <row r="28" spans="1:26" ht="20" customHeight="1" x14ac:dyDescent="0.15">
      <c r="A28" s="11">
        <v>1027</v>
      </c>
      <c r="B28" s="10" t="str">
        <f>_xlfn.XLOOKUP(A28,Employees!A:A,Employees!B:B,"")</f>
        <v>Rahul Sinha</v>
      </c>
      <c r="C28" s="10">
        <f>_xlfn.XLOOKUP(A28,Employees!A:A,Employees!C:C,"")</f>
        <v>9876501027</v>
      </c>
      <c r="D28" s="10" t="str">
        <f>_xlfn.XLOOKUP(A28,Employees!A:A,Employees!D:D,"")</f>
        <v>Active</v>
      </c>
      <c r="E28" s="11">
        <v>25</v>
      </c>
      <c r="F28" s="11">
        <v>5</v>
      </c>
      <c r="G28" s="11">
        <v>14500</v>
      </c>
      <c r="H28" s="11">
        <v>0</v>
      </c>
      <c r="I28" s="11">
        <v>0</v>
      </c>
      <c r="J28" s="11">
        <v>0</v>
      </c>
      <c r="K28" s="11">
        <v>500</v>
      </c>
      <c r="L28" s="11" t="s">
        <v>173</v>
      </c>
      <c r="M28" s="11">
        <v>0</v>
      </c>
      <c r="N28" s="11">
        <v>600</v>
      </c>
      <c r="O28" s="11">
        <v>0</v>
      </c>
      <c r="P28" s="11" t="s">
        <v>173</v>
      </c>
      <c r="Q28" s="11">
        <v>0</v>
      </c>
      <c r="R28" s="11">
        <v>100</v>
      </c>
      <c r="S28" s="11">
        <v>0</v>
      </c>
      <c r="T28" s="11">
        <v>15700</v>
      </c>
      <c r="U28" s="11">
        <v>1100</v>
      </c>
      <c r="V28" s="11">
        <v>300</v>
      </c>
      <c r="W28" s="11">
        <v>0</v>
      </c>
      <c r="X28" s="11">
        <v>0</v>
      </c>
      <c r="Y28" s="11">
        <v>1400</v>
      </c>
      <c r="Z28" s="11">
        <v>14300</v>
      </c>
    </row>
    <row r="29" spans="1:26" ht="20" customHeight="1" x14ac:dyDescent="0.15">
      <c r="A29" s="11">
        <v>1028</v>
      </c>
      <c r="B29" s="10" t="str">
        <f>_xlfn.XLOOKUP(A29,Employees!A:A,Employees!B:B,"")</f>
        <v>Anjali Mehta</v>
      </c>
      <c r="C29" s="10">
        <f>_xlfn.XLOOKUP(A29,Employees!A:A,Employees!C:C,"")</f>
        <v>9876501028</v>
      </c>
      <c r="D29" s="10" t="str">
        <f>_xlfn.XLOOKUP(A29,Employees!A:A,Employees!D:D,"")</f>
        <v>Active</v>
      </c>
      <c r="E29" s="11">
        <v>24</v>
      </c>
      <c r="F29" s="11">
        <v>0</v>
      </c>
      <c r="G29" s="11">
        <v>12800</v>
      </c>
      <c r="H29" s="11" t="s">
        <v>173</v>
      </c>
      <c r="I29" s="11">
        <v>0</v>
      </c>
      <c r="J29" s="11">
        <v>0</v>
      </c>
      <c r="K29" s="11">
        <v>0</v>
      </c>
      <c r="L29" s="11" t="s">
        <v>173</v>
      </c>
      <c r="M29" s="11">
        <v>0</v>
      </c>
      <c r="N29" s="11">
        <v>500</v>
      </c>
      <c r="O29" s="11">
        <v>0</v>
      </c>
      <c r="P29" s="11" t="s">
        <v>173</v>
      </c>
      <c r="Q29" s="11">
        <v>0</v>
      </c>
      <c r="R29" s="11">
        <v>100</v>
      </c>
      <c r="S29" s="11" t="s">
        <v>173</v>
      </c>
      <c r="T29" s="11">
        <v>13400</v>
      </c>
      <c r="U29" s="11">
        <v>950</v>
      </c>
      <c r="V29" s="11">
        <v>300</v>
      </c>
      <c r="W29" s="11">
        <v>0</v>
      </c>
      <c r="X29" s="11">
        <v>0</v>
      </c>
      <c r="Y29" s="11">
        <v>1250</v>
      </c>
      <c r="Z29" s="11">
        <v>12150</v>
      </c>
    </row>
    <row r="30" spans="1:26" ht="20" customHeight="1" x14ac:dyDescent="0.15">
      <c r="A30" s="11">
        <v>1029</v>
      </c>
      <c r="B30" s="10" t="str">
        <f>_xlfn.XLOOKUP(A30,Employees!A:A,Employees!B:B,"")</f>
        <v>Naveen Prasad</v>
      </c>
      <c r="C30" s="10">
        <f>_xlfn.XLOOKUP(A30,Employees!A:A,Employees!C:C,"")</f>
        <v>9876501029</v>
      </c>
      <c r="D30" s="10" t="str">
        <f>_xlfn.XLOOKUP(A30,Employees!A:A,Employees!D:D,"")</f>
        <v>Active</v>
      </c>
      <c r="E30" s="11">
        <v>26</v>
      </c>
      <c r="F30" s="11">
        <v>2</v>
      </c>
      <c r="G30" s="11">
        <v>15000</v>
      </c>
      <c r="H30" s="11">
        <v>0</v>
      </c>
      <c r="I30" s="11">
        <v>0</v>
      </c>
      <c r="J30" s="11">
        <v>0</v>
      </c>
      <c r="K30" s="11">
        <v>200</v>
      </c>
      <c r="L30" s="11" t="s">
        <v>173</v>
      </c>
      <c r="M30" s="11">
        <v>0</v>
      </c>
      <c r="N30" s="11">
        <v>600</v>
      </c>
      <c r="O30" s="11">
        <v>0</v>
      </c>
      <c r="P30" s="11" t="s">
        <v>173</v>
      </c>
      <c r="Q30" s="11">
        <v>0</v>
      </c>
      <c r="R30" s="11">
        <v>100</v>
      </c>
      <c r="S30" s="11">
        <v>0</v>
      </c>
      <c r="T30" s="11">
        <v>15900</v>
      </c>
      <c r="U30" s="11">
        <v>1100</v>
      </c>
      <c r="V30" s="11">
        <v>300</v>
      </c>
      <c r="W30" s="11">
        <v>700</v>
      </c>
      <c r="X30" s="11">
        <v>0</v>
      </c>
      <c r="Y30" s="11">
        <v>2100</v>
      </c>
      <c r="Z30" s="11">
        <v>13800</v>
      </c>
    </row>
    <row r="31" spans="1:26" ht="20" customHeight="1" x14ac:dyDescent="0.15">
      <c r="A31" s="11">
        <v>1030</v>
      </c>
      <c r="B31" s="10" t="str">
        <f>_xlfn.XLOOKUP(A31,Employees!A:A,Employees!B:B,"")</f>
        <v>Farah Khan</v>
      </c>
      <c r="C31" s="10">
        <f>_xlfn.XLOOKUP(A31,Employees!A:A,Employees!C:C,"")</f>
        <v>9876501030</v>
      </c>
      <c r="D31" s="10" t="str">
        <f>_xlfn.XLOOKUP(A31,Employees!A:A,Employees!D:D,"")</f>
        <v>Active</v>
      </c>
      <c r="E31" s="11">
        <v>23</v>
      </c>
      <c r="F31" s="11">
        <v>0</v>
      </c>
      <c r="G31" s="11">
        <v>12200</v>
      </c>
      <c r="H31" s="11" t="s">
        <v>173</v>
      </c>
      <c r="I31" s="11">
        <v>0</v>
      </c>
      <c r="J31" s="11">
        <v>0</v>
      </c>
      <c r="K31" s="11">
        <v>0</v>
      </c>
      <c r="L31" s="11" t="s">
        <v>173</v>
      </c>
      <c r="M31" s="11">
        <v>0</v>
      </c>
      <c r="N31" s="11">
        <v>500</v>
      </c>
      <c r="O31" s="11">
        <v>0</v>
      </c>
      <c r="P31" s="11" t="s">
        <v>173</v>
      </c>
      <c r="Q31" s="11">
        <v>0</v>
      </c>
      <c r="R31" s="11">
        <v>100</v>
      </c>
      <c r="S31" s="11" t="s">
        <v>173</v>
      </c>
      <c r="T31" s="11">
        <v>12800</v>
      </c>
      <c r="U31" s="11">
        <v>900</v>
      </c>
      <c r="V31" s="11">
        <v>300</v>
      </c>
      <c r="W31" s="11">
        <v>0</v>
      </c>
      <c r="X31" s="11">
        <v>0</v>
      </c>
      <c r="Y31" s="11">
        <v>1200</v>
      </c>
      <c r="Z31" s="11">
        <v>11600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Payroll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Caine Daniel (DHL IT Services), external</cp:lastModifiedBy>
  <dcterms:modified xsi:type="dcterms:W3CDTF">2026-05-19T20:01:51Z</dcterms:modified>
</cp:coreProperties>
</file>